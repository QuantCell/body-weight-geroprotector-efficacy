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danicachen/Desktop/active projects/GLP-1/ submission/   Feng 2026 source data/"/>
    </mc:Choice>
  </mc:AlternateContent>
  <xr:revisionPtr revIDLastSave="0" documentId="13_ncr:1_{DDE587FB-7564-844A-8196-65A2C5C024D6}" xr6:coauthVersionLast="47" xr6:coauthVersionMax="47" xr10:uidLastSave="{00000000-0000-0000-0000-000000000000}"/>
  <bookViews>
    <workbookView xWindow="3780" yWindow="960" windowWidth="27320" windowHeight="17340" tabRatio="838" xr2:uid="{00000000-000D-0000-FFFF-FFFF00000000}"/>
  </bookViews>
  <sheets>
    <sheet name="Extended Figure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5" l="1"/>
  <c r="S139" i="5" l="1"/>
  <c r="Z150" i="5"/>
  <c r="Y150" i="5"/>
  <c r="T150" i="5"/>
  <c r="S150" i="5"/>
  <c r="Z149" i="5"/>
  <c r="Y149" i="5"/>
  <c r="T149" i="5"/>
  <c r="S149" i="5"/>
  <c r="Z145" i="5"/>
  <c r="Y145" i="5"/>
  <c r="T145" i="5"/>
  <c r="S145" i="5"/>
  <c r="Z144" i="5"/>
  <c r="Y144" i="5"/>
  <c r="T144" i="5"/>
  <c r="S144" i="5"/>
  <c r="Z140" i="5"/>
  <c r="Y140" i="5"/>
  <c r="T140" i="5"/>
  <c r="S140" i="5"/>
  <c r="Z139" i="5"/>
  <c r="Y139" i="5"/>
  <c r="T139" i="5"/>
  <c r="E100" i="5" l="1"/>
  <c r="D37" i="5"/>
  <c r="H37" i="5" s="1"/>
  <c r="M122" i="5"/>
  <c r="B38" i="5"/>
  <c r="N123" i="5" l="1"/>
  <c r="E38" i="5" l="1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37" i="5"/>
  <c r="C6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37" i="5"/>
  <c r="D38" i="5"/>
  <c r="H38" i="5" s="1"/>
  <c r="D39" i="5"/>
  <c r="D40" i="5"/>
  <c r="D41" i="5"/>
  <c r="D42" i="5"/>
  <c r="D43" i="5"/>
  <c r="D44" i="5"/>
  <c r="H44" i="5" s="1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B67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H42" i="5" l="1"/>
  <c r="H65" i="5"/>
  <c r="H45" i="5"/>
  <c r="H54" i="5"/>
  <c r="H53" i="5"/>
  <c r="H40" i="5"/>
  <c r="H59" i="5"/>
  <c r="H48" i="5"/>
  <c r="H64" i="5"/>
  <c r="H63" i="5"/>
  <c r="H62" i="5"/>
  <c r="H51" i="5"/>
  <c r="H50" i="5"/>
  <c r="H49" i="5"/>
  <c r="H67" i="5"/>
  <c r="H57" i="5"/>
  <c r="H47" i="5"/>
  <c r="H55" i="5"/>
  <c r="H43" i="5"/>
  <c r="H52" i="5"/>
  <c r="H61" i="5"/>
  <c r="H41" i="5"/>
  <c r="H60" i="5"/>
  <c r="H39" i="5"/>
  <c r="H58" i="5"/>
  <c r="H66" i="5"/>
  <c r="H56" i="5"/>
  <c r="H46" i="5"/>
  <c r="N150" i="5"/>
  <c r="N149" i="5"/>
  <c r="M149" i="5"/>
  <c r="N145" i="5"/>
  <c r="N144" i="5"/>
  <c r="M145" i="5"/>
  <c r="M144" i="5"/>
  <c r="N140" i="5"/>
  <c r="N139" i="5"/>
  <c r="M140" i="5"/>
  <c r="M139" i="5"/>
  <c r="M132" i="5"/>
  <c r="N128" i="5"/>
  <c r="N127" i="5"/>
  <c r="M128" i="5"/>
  <c r="M127" i="5"/>
  <c r="N122" i="5"/>
  <c r="M123" i="5"/>
  <c r="T128" i="5" l="1"/>
  <c r="S127" i="5"/>
  <c r="T123" i="5"/>
  <c r="N132" i="5"/>
  <c r="Y122" i="5" l="1"/>
  <c r="F100" i="5" l="1"/>
  <c r="F99" i="5"/>
  <c r="E99" i="5"/>
  <c r="M150" i="5"/>
  <c r="Z133" i="5"/>
  <c r="Y133" i="5"/>
  <c r="Z132" i="5"/>
  <c r="Y132" i="5"/>
  <c r="Z128" i="5"/>
  <c r="Y128" i="5"/>
  <c r="Z127" i="5"/>
  <c r="Y127" i="5"/>
  <c r="Z123" i="5"/>
  <c r="T133" i="5"/>
  <c r="T127" i="5"/>
  <c r="T122" i="5"/>
  <c r="M133" i="5"/>
  <c r="N133" i="5"/>
  <c r="S133" i="5"/>
  <c r="T132" i="5"/>
  <c r="S132" i="5"/>
  <c r="S128" i="5"/>
  <c r="Y123" i="5"/>
  <c r="S123" i="5"/>
  <c r="Z122" i="5"/>
  <c r="S122" i="5"/>
  <c r="F77" i="5"/>
  <c r="E77" i="5"/>
  <c r="F76" i="5"/>
  <c r="E76" i="5"/>
</calcChain>
</file>

<file path=xl/sharedStrings.xml><?xml version="1.0" encoding="utf-8"?>
<sst xmlns="http://schemas.openxmlformats.org/spreadsheetml/2006/main" count="310" uniqueCount="103">
  <si>
    <t>Average</t>
  </si>
  <si>
    <t>SEM</t>
  </si>
  <si>
    <t>Sema1</t>
    <phoneticPr fontId="1" type="noConversion"/>
  </si>
  <si>
    <t>Sema2</t>
  </si>
  <si>
    <t>Sema3</t>
  </si>
  <si>
    <t>Sema4</t>
  </si>
  <si>
    <t>Sema5</t>
  </si>
  <si>
    <t>Sema6</t>
  </si>
  <si>
    <t>Sema7</t>
  </si>
  <si>
    <t>Sema8</t>
  </si>
  <si>
    <t>Sema9</t>
  </si>
  <si>
    <t>Sema10</t>
  </si>
  <si>
    <t>Ctrl</t>
    <phoneticPr fontId="1" type="noConversion"/>
  </si>
  <si>
    <t>Ctrl1</t>
    <phoneticPr fontId="1" type="noConversion"/>
  </si>
  <si>
    <t>Ctrl2</t>
  </si>
  <si>
    <t>Ctrl3</t>
  </si>
  <si>
    <t>Ctrl4</t>
  </si>
  <si>
    <t>Ctrl5</t>
  </si>
  <si>
    <t>Ctrl6</t>
  </si>
  <si>
    <t>Ctrl7</t>
  </si>
  <si>
    <t>Ctrl8</t>
  </si>
  <si>
    <t>Ctrl9</t>
  </si>
  <si>
    <t>Ctrl10</t>
  </si>
  <si>
    <t>Sema</t>
    <phoneticPr fontId="1" type="noConversion"/>
  </si>
  <si>
    <t>Sema5</t>
    <phoneticPr fontId="1" type="noConversion"/>
  </si>
  <si>
    <t>Sema4</t>
    <phoneticPr fontId="1" type="noConversion"/>
  </si>
  <si>
    <t>Sema6</t>
    <phoneticPr fontId="1" type="noConversion"/>
  </si>
  <si>
    <t>Ctrl</t>
  </si>
  <si>
    <t>Day</t>
    <phoneticPr fontId="1" type="noConversion"/>
  </si>
  <si>
    <t>Liver</t>
    <phoneticPr fontId="1" type="noConversion"/>
  </si>
  <si>
    <t>Vwat</t>
    <phoneticPr fontId="1" type="noConversion"/>
  </si>
  <si>
    <t>Swat</t>
    <phoneticPr fontId="1" type="noConversion"/>
  </si>
  <si>
    <t>BAT</t>
    <phoneticPr fontId="1" type="noConversion"/>
  </si>
  <si>
    <t>Heart</t>
    <phoneticPr fontId="1" type="noConversion"/>
  </si>
  <si>
    <t>GAS</t>
    <phoneticPr fontId="1" type="noConversion"/>
  </si>
  <si>
    <t>TA</t>
    <phoneticPr fontId="1" type="noConversion"/>
  </si>
  <si>
    <t>SOL</t>
    <phoneticPr fontId="1" type="noConversion"/>
  </si>
  <si>
    <t>p=0.0002</t>
    <phoneticPr fontId="1" type="noConversion"/>
  </si>
  <si>
    <t>p=0.0043</t>
    <phoneticPr fontId="1" type="noConversion"/>
  </si>
  <si>
    <t>p=0.0005</t>
    <phoneticPr fontId="1" type="noConversion"/>
  </si>
  <si>
    <t>p=0.0044</t>
    <phoneticPr fontId="1" type="noConversion"/>
  </si>
  <si>
    <t>p=0.0427</t>
    <phoneticPr fontId="1" type="noConversion"/>
  </si>
  <si>
    <t>p=0.0518</t>
    <phoneticPr fontId="1" type="noConversion"/>
  </si>
  <si>
    <t>p=0.1490</t>
    <phoneticPr fontId="1" type="noConversion"/>
  </si>
  <si>
    <t>Mean Difference</t>
  </si>
  <si>
    <t>Beta regression</t>
  </si>
  <si>
    <t>Beta regression</t>
    <phoneticPr fontId="1" type="noConversion"/>
  </si>
  <si>
    <t>p = 0.7970</t>
    <phoneticPr fontId="1" type="noConversion"/>
  </si>
  <si>
    <t>β (logit link) = -0.9225</t>
  </si>
  <si>
    <t xml:space="preserve">β (logit link)= 0.9225 </t>
    <phoneticPr fontId="1" type="noConversion"/>
  </si>
  <si>
    <t>Hodges-Lehmann difference=-410.7</t>
    <phoneticPr fontId="1" type="noConversion"/>
  </si>
  <si>
    <t>Mean Difference=-997.3</t>
    <phoneticPr fontId="1" type="noConversion"/>
  </si>
  <si>
    <t>Mean Difference=-30.72</t>
    <phoneticPr fontId="1" type="noConversion"/>
  </si>
  <si>
    <t>Mean Difference=-56.95</t>
    <phoneticPr fontId="1" type="noConversion"/>
  </si>
  <si>
    <t>Mean Difference=-28.87</t>
    <phoneticPr fontId="1" type="noConversion"/>
  </si>
  <si>
    <t>Mean Difference=-34.7</t>
    <phoneticPr fontId="1" type="noConversion"/>
  </si>
  <si>
    <t>Mean Difference=-18.83</t>
    <phoneticPr fontId="1" type="noConversion"/>
  </si>
  <si>
    <t>Mean Difference=-477.7</t>
    <phoneticPr fontId="1" type="noConversion"/>
  </si>
  <si>
    <t>p = 0.0005</t>
    <phoneticPr fontId="1" type="noConversion"/>
  </si>
  <si>
    <t>β (logit link)= -0.0193</t>
  </si>
  <si>
    <t>β (logit link)= -0.9935</t>
  </si>
  <si>
    <t>β (logit link)= -0.9349</t>
  </si>
  <si>
    <t xml:space="preserve">β (logit link)= -0.0705 </t>
  </si>
  <si>
    <t>β (logit link)= -0.0511</t>
  </si>
  <si>
    <t>β (logit link)= -0.0047</t>
  </si>
  <si>
    <t xml:space="preserve">β (logit link)= 0.1038 </t>
  </si>
  <si>
    <t>Mean Difference=-1.95</t>
    <phoneticPr fontId="1" type="noConversion"/>
  </si>
  <si>
    <t xml:space="preserve"> p.adj</t>
  </si>
  <si>
    <t>p = 0.5394</t>
    <phoneticPr fontId="1" type="noConversion"/>
  </si>
  <si>
    <t>β (logit link)= 0.1560</t>
    <phoneticPr fontId="1" type="noConversion"/>
  </si>
  <si>
    <t xml:space="preserve"> p = 0.2863</t>
    <phoneticPr fontId="1" type="noConversion"/>
  </si>
  <si>
    <t>Extended Figure2a</t>
    <phoneticPr fontId="1" type="noConversion"/>
  </si>
  <si>
    <t>Extended Figure2b</t>
    <phoneticPr fontId="1" type="noConversion"/>
  </si>
  <si>
    <t>Extended Figure2c</t>
    <phoneticPr fontId="1" type="noConversion"/>
  </si>
  <si>
    <t>Extended Figure2d</t>
    <phoneticPr fontId="1" type="noConversion"/>
  </si>
  <si>
    <t>Extended Figure2e</t>
    <phoneticPr fontId="1" type="noConversion"/>
  </si>
  <si>
    <r>
      <t>p=3.9×10</t>
    </r>
    <r>
      <rPr>
        <vertAlign val="superscript"/>
        <sz val="11"/>
        <rFont val="Arial"/>
        <family val="2"/>
      </rPr>
      <t>-24</t>
    </r>
    <phoneticPr fontId="1" type="noConversion"/>
  </si>
  <si>
    <r>
      <t>p=2.5×10</t>
    </r>
    <r>
      <rPr>
        <vertAlign val="superscript"/>
        <sz val="11"/>
        <rFont val="Arial"/>
        <family val="2"/>
      </rPr>
      <t>-5</t>
    </r>
    <phoneticPr fontId="1" type="noConversion"/>
  </si>
  <si>
    <r>
      <t>p=2.5×10</t>
    </r>
    <r>
      <rPr>
        <vertAlign val="superscript"/>
        <sz val="11"/>
        <rFont val="Arial"/>
        <family val="2"/>
      </rPr>
      <t>-9</t>
    </r>
    <phoneticPr fontId="1" type="noConversion"/>
  </si>
  <si>
    <r>
      <t>p=1.9×10</t>
    </r>
    <r>
      <rPr>
        <vertAlign val="superscript"/>
        <sz val="11"/>
        <rFont val="Arial"/>
        <family val="2"/>
      </rPr>
      <t>-8</t>
    </r>
    <phoneticPr fontId="1" type="noConversion"/>
  </si>
  <si>
    <t xml:space="preserve"> p = 0.5234 </t>
    <phoneticPr fontId="1" type="noConversion"/>
  </si>
  <si>
    <t xml:space="preserve"> p = 0.9831</t>
    <phoneticPr fontId="1" type="noConversion"/>
  </si>
  <si>
    <t xml:space="preserve">p = 0.0984 </t>
    <phoneticPr fontId="1" type="noConversion"/>
  </si>
  <si>
    <t xml:space="preserve">β (logit link)= 0.1718 </t>
  </si>
  <si>
    <t>One-sided Mann-Whitney U test</t>
    <phoneticPr fontId="1" type="noConversion"/>
  </si>
  <si>
    <t>One-sided Welch’s t-test</t>
    <phoneticPr fontId="1" type="noConversion"/>
  </si>
  <si>
    <t>One-sided Student’s t-test</t>
  </si>
  <si>
    <r>
      <t>6.0×10</t>
    </r>
    <r>
      <rPr>
        <vertAlign val="superscript"/>
        <sz val="11"/>
        <rFont val="Arial"/>
        <family val="2"/>
      </rPr>
      <t>-6</t>
    </r>
    <phoneticPr fontId="1" type="noConversion"/>
  </si>
  <si>
    <r>
      <t>3.5×10</t>
    </r>
    <r>
      <rPr>
        <vertAlign val="superscript"/>
        <sz val="11"/>
        <rFont val="Arial"/>
        <family val="2"/>
      </rPr>
      <t>-6</t>
    </r>
    <phoneticPr fontId="1" type="noConversion"/>
  </si>
  <si>
    <r>
      <t>5.8×10</t>
    </r>
    <r>
      <rPr>
        <vertAlign val="superscript"/>
        <sz val="11"/>
        <rFont val="Arial"/>
        <family val="2"/>
      </rPr>
      <t>-6</t>
    </r>
    <phoneticPr fontId="1" type="noConversion"/>
  </si>
  <si>
    <r>
      <t>1.9×10</t>
    </r>
    <r>
      <rPr>
        <vertAlign val="superscript"/>
        <sz val="11"/>
        <rFont val="Arial"/>
        <family val="2"/>
      </rPr>
      <t>-6</t>
    </r>
    <phoneticPr fontId="1" type="noConversion"/>
  </si>
  <si>
    <r>
      <t>2.2×10</t>
    </r>
    <r>
      <rPr>
        <vertAlign val="superscript"/>
        <sz val="11"/>
        <rFont val="Arial"/>
        <family val="2"/>
      </rPr>
      <t>-6</t>
    </r>
    <phoneticPr fontId="1" type="noConversion"/>
  </si>
  <si>
    <r>
      <t>5.7×10</t>
    </r>
    <r>
      <rPr>
        <vertAlign val="superscript"/>
        <sz val="11"/>
        <rFont val="Arial"/>
        <family val="2"/>
      </rPr>
      <t>-6</t>
    </r>
    <phoneticPr fontId="1" type="noConversion"/>
  </si>
  <si>
    <r>
      <t>5.0×10</t>
    </r>
    <r>
      <rPr>
        <vertAlign val="superscript"/>
        <sz val="11"/>
        <rFont val="Arial"/>
        <family val="2"/>
      </rPr>
      <t>-6</t>
    </r>
    <phoneticPr fontId="1" type="noConversion"/>
  </si>
  <si>
    <r>
      <t>3.6×10</t>
    </r>
    <r>
      <rPr>
        <vertAlign val="superscript"/>
        <sz val="11"/>
        <rFont val="Arial"/>
        <family val="2"/>
      </rPr>
      <t>-7</t>
    </r>
    <phoneticPr fontId="1" type="noConversion"/>
  </si>
  <si>
    <r>
      <t>8.5×10</t>
    </r>
    <r>
      <rPr>
        <vertAlign val="superscript"/>
        <sz val="11"/>
        <rFont val="Arial"/>
        <family val="2"/>
      </rPr>
      <t>-8</t>
    </r>
    <phoneticPr fontId="1" type="noConversion"/>
  </si>
  <si>
    <r>
      <t>3.4×10</t>
    </r>
    <r>
      <rPr>
        <vertAlign val="superscript"/>
        <sz val="11"/>
        <rFont val="Arial"/>
        <family val="2"/>
      </rPr>
      <t>-7</t>
    </r>
    <phoneticPr fontId="1" type="noConversion"/>
  </si>
  <si>
    <r>
      <t>6.0×10</t>
    </r>
    <r>
      <rPr>
        <vertAlign val="superscript"/>
        <sz val="11"/>
        <rFont val="Arial"/>
        <family val="2"/>
      </rPr>
      <t>-7</t>
    </r>
    <phoneticPr fontId="1" type="noConversion"/>
  </si>
  <si>
    <r>
      <t>6.9×10</t>
    </r>
    <r>
      <rPr>
        <vertAlign val="superscript"/>
        <sz val="11"/>
        <rFont val="Arial"/>
        <family val="2"/>
      </rPr>
      <t>-7</t>
    </r>
    <phoneticPr fontId="1" type="noConversion"/>
  </si>
  <si>
    <r>
      <t>8.4×10</t>
    </r>
    <r>
      <rPr>
        <vertAlign val="superscript"/>
        <sz val="11"/>
        <rFont val="Arial"/>
        <family val="2"/>
      </rPr>
      <t>-7</t>
    </r>
    <phoneticPr fontId="1" type="noConversion"/>
  </si>
  <si>
    <r>
      <t>2.4×10</t>
    </r>
    <r>
      <rPr>
        <vertAlign val="superscript"/>
        <sz val="11"/>
        <rFont val="Arial"/>
        <family val="2"/>
      </rPr>
      <t>-7</t>
    </r>
    <phoneticPr fontId="1" type="noConversion"/>
  </si>
  <si>
    <t>Spleen</t>
    <phoneticPr fontId="1" type="noConversion"/>
  </si>
  <si>
    <t>Linear mixed-effects model followed by Holm-adjusted pairwise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</si>
</sst>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0.0000"/>
    <numFmt numFmtId="167" formatCode="0.0000000"/>
    <numFmt numFmtId="168" formatCode="0.000"/>
    <numFmt numFmtId="169" formatCode="0.00000"/>
    <numFmt numFmtId="170" formatCode="0.000_);[Red]\(0.000\)"/>
    <numFmt numFmtId="171" formatCode="0.0000000000"/>
    <numFmt numFmtId="172" formatCode="0.00000000000"/>
    <numFmt numFmtId="173" formatCode="0.000000_ "/>
  </numFmts>
  <fonts count="7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164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0" fontId="3" fillId="0" borderId="0" xfId="0" applyNumberFormat="1" applyFont="1"/>
    <xf numFmtId="0" fontId="5" fillId="0" borderId="2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73" fontId="3" fillId="0" borderId="4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73" fontId="3" fillId="0" borderId="6" xfId="0" applyNumberFormat="1" applyFont="1" applyBorder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8" fontId="3" fillId="0" borderId="10" xfId="1" applyNumberFormat="1" applyFont="1" applyBorder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70" fontId="3" fillId="0" borderId="10" xfId="0" applyNumberFormat="1" applyFont="1" applyBorder="1" applyAlignment="1">
      <alignment horizontal="center" vertical="center"/>
    </xf>
    <xf numFmtId="168" fontId="3" fillId="0" borderId="11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68" fontId="3" fillId="0" borderId="4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5">
    <cellStyle name="Normal" xfId="0" builtinId="0"/>
    <cellStyle name="千位分隔 2" xfId="4" xr:uid="{3EB854CE-6B6F-45C9-9F5F-74D875B9053D}"/>
    <cellStyle name="常规 2" xfId="1" xr:uid="{B8A529DF-6BD3-4395-9B0E-F98EE53A3D4E}"/>
    <cellStyle name="標準 2" xfId="2" xr:uid="{202538EC-8F5E-444A-9E51-72A021ED67B3}"/>
    <cellStyle name="货币 2" xfId="3" xr:uid="{46C873E3-22F4-474F-8D44-9E5F6EF65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DE1C-69CF-494C-BAC3-46B6D227E00C}">
  <dimension ref="A1:CB164"/>
  <sheetViews>
    <sheetView tabSelected="1" topLeftCell="A126" zoomScale="137" zoomScaleNormal="137" workbookViewId="0">
      <selection activeCell="U152" sqref="U152"/>
    </sheetView>
  </sheetViews>
  <sheetFormatPr baseColWidth="10" defaultColWidth="8.6640625" defaultRowHeight="14" x14ac:dyDescent="0.2"/>
  <cols>
    <col min="1" max="1" width="11.1640625" style="2" customWidth="1"/>
    <col min="2" max="2" width="12.1640625" style="2" customWidth="1"/>
    <col min="3" max="3" width="12.5" style="2" customWidth="1"/>
    <col min="4" max="4" width="10.83203125" style="2" customWidth="1"/>
    <col min="5" max="5" width="10.1640625" style="2" customWidth="1"/>
    <col min="6" max="6" width="12.1640625" style="2" customWidth="1"/>
    <col min="7" max="7" width="11.1640625" style="2" customWidth="1"/>
    <col min="8" max="8" width="14.5" style="2" customWidth="1"/>
    <col min="9" max="9" width="13.83203125" style="2" customWidth="1"/>
    <col min="10" max="10" width="11.6640625" style="2" customWidth="1"/>
    <col min="11" max="11" width="9.5" style="2" customWidth="1"/>
    <col min="12" max="15" width="8.6640625" style="2"/>
    <col min="16" max="16" width="37.83203125" style="2" customWidth="1"/>
    <col min="17" max="20" width="8.6640625" style="2"/>
    <col min="21" max="21" width="10.5" style="2" customWidth="1"/>
    <col min="22" max="22" width="24.6640625" style="2" customWidth="1"/>
    <col min="23" max="25" width="8.6640625" style="2"/>
    <col min="26" max="26" width="8.83203125" style="2" customWidth="1"/>
    <col min="27" max="27" width="8.6640625" style="2"/>
    <col min="28" max="28" width="21.5" style="2" customWidth="1"/>
    <col min="29" max="30" width="8.6640625" style="2"/>
    <col min="31" max="31" width="28.6640625" style="2" customWidth="1"/>
    <col min="32" max="34" width="8.6640625" style="2"/>
    <col min="35" max="35" width="24.83203125" style="2" customWidth="1"/>
    <col min="36" max="38" width="8.6640625" style="2"/>
    <col min="39" max="39" width="33.1640625" style="2" customWidth="1"/>
    <col min="40" max="16384" width="8.6640625" style="2"/>
  </cols>
  <sheetData>
    <row r="1" spans="1:80" x14ac:dyDescent="0.2">
      <c r="A1" s="53" t="s">
        <v>71</v>
      </c>
    </row>
    <row r="2" spans="1:80" x14ac:dyDescent="0.2">
      <c r="A2" s="3" t="s">
        <v>28</v>
      </c>
      <c r="B2" s="54" t="s">
        <v>27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6"/>
      <c r="AO2" s="54" t="s">
        <v>23</v>
      </c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6"/>
    </row>
    <row r="3" spans="1:80" x14ac:dyDescent="0.2">
      <c r="A3" s="6">
        <v>600</v>
      </c>
      <c r="B3" s="7">
        <v>29.1</v>
      </c>
      <c r="C3" s="2">
        <v>31.5</v>
      </c>
      <c r="D3" s="2">
        <v>30.4</v>
      </c>
      <c r="E3" s="2">
        <v>31.7</v>
      </c>
      <c r="F3" s="2">
        <v>32.700000000000003</v>
      </c>
      <c r="G3" s="2">
        <v>30.6</v>
      </c>
      <c r="H3" s="2">
        <v>24.8</v>
      </c>
      <c r="I3" s="2">
        <v>31.1</v>
      </c>
      <c r="J3" s="2">
        <v>29</v>
      </c>
      <c r="K3" s="2">
        <v>26.6</v>
      </c>
      <c r="L3" s="2">
        <v>24</v>
      </c>
      <c r="M3" s="2">
        <v>34.700000000000003</v>
      </c>
      <c r="N3" s="2">
        <v>38</v>
      </c>
      <c r="O3" s="2">
        <v>37</v>
      </c>
      <c r="P3" s="2">
        <v>32</v>
      </c>
      <c r="Q3" s="2">
        <v>36.4</v>
      </c>
      <c r="R3" s="2">
        <v>31.6</v>
      </c>
      <c r="S3" s="2">
        <v>30.5</v>
      </c>
      <c r="T3" s="2">
        <v>36.700000000000003</v>
      </c>
      <c r="U3" s="2">
        <v>38</v>
      </c>
      <c r="V3" s="2">
        <v>26.2</v>
      </c>
      <c r="W3" s="2">
        <v>32.1</v>
      </c>
      <c r="X3" s="2">
        <v>38.4</v>
      </c>
      <c r="Y3" s="2">
        <v>32.4</v>
      </c>
      <c r="Z3" s="2">
        <v>34.299999999999997</v>
      </c>
      <c r="AA3" s="2">
        <v>27.6</v>
      </c>
      <c r="AB3" s="2">
        <v>28.7</v>
      </c>
      <c r="AC3" s="2">
        <v>27.6</v>
      </c>
      <c r="AD3" s="2">
        <v>24.8</v>
      </c>
      <c r="AE3" s="2">
        <v>28</v>
      </c>
      <c r="AF3" s="2">
        <v>30</v>
      </c>
      <c r="AG3" s="2">
        <v>27.6</v>
      </c>
      <c r="AH3" s="2">
        <v>37.299999999999997</v>
      </c>
      <c r="AI3" s="2">
        <v>25.2</v>
      </c>
      <c r="AJ3" s="2">
        <v>33.9</v>
      </c>
      <c r="AK3" s="2">
        <v>28.5</v>
      </c>
      <c r="AL3" s="2">
        <v>39.6</v>
      </c>
      <c r="AM3" s="2">
        <v>27.2</v>
      </c>
      <c r="AN3" s="2">
        <v>31.1</v>
      </c>
      <c r="AO3" s="8">
        <v>26.7</v>
      </c>
      <c r="AP3" s="9">
        <v>33</v>
      </c>
      <c r="AQ3" s="9">
        <v>29.5</v>
      </c>
      <c r="AR3" s="9">
        <v>29.5</v>
      </c>
      <c r="AS3" s="9">
        <v>34</v>
      </c>
      <c r="AT3" s="9">
        <v>33.4</v>
      </c>
      <c r="AU3" s="9">
        <v>31.5</v>
      </c>
      <c r="AV3" s="9">
        <v>30.6</v>
      </c>
      <c r="AW3" s="9">
        <v>39.6</v>
      </c>
      <c r="AX3" s="9">
        <v>33.1</v>
      </c>
      <c r="AY3" s="9">
        <v>31.1</v>
      </c>
      <c r="AZ3" s="9">
        <v>28.3</v>
      </c>
      <c r="BA3" s="9">
        <v>33.799999999999997</v>
      </c>
      <c r="BB3" s="9">
        <v>35.799999999999997</v>
      </c>
      <c r="BC3" s="9">
        <v>35</v>
      </c>
      <c r="BD3" s="9">
        <v>32.799999999999997</v>
      </c>
      <c r="BE3" s="9">
        <v>42</v>
      </c>
      <c r="BF3" s="9">
        <v>34.1</v>
      </c>
      <c r="BG3" s="9">
        <v>31.2</v>
      </c>
      <c r="BH3" s="9">
        <v>26.8</v>
      </c>
      <c r="BI3" s="9">
        <v>28.2</v>
      </c>
      <c r="BJ3" s="9">
        <v>27.6</v>
      </c>
      <c r="BK3" s="9">
        <v>34.200000000000003</v>
      </c>
      <c r="BL3" s="9">
        <v>41.9</v>
      </c>
      <c r="BM3" s="9">
        <v>31.4</v>
      </c>
      <c r="BN3" s="9">
        <v>27.1</v>
      </c>
      <c r="BO3" s="9">
        <v>34.200000000000003</v>
      </c>
      <c r="BP3" s="9">
        <v>34.700000000000003</v>
      </c>
      <c r="BQ3" s="9">
        <v>33.700000000000003</v>
      </c>
      <c r="BR3" s="9">
        <v>32.4</v>
      </c>
      <c r="BS3" s="9">
        <v>31.6</v>
      </c>
      <c r="BT3" s="9">
        <v>30.8</v>
      </c>
      <c r="BU3" s="9">
        <v>32.799999999999997</v>
      </c>
      <c r="BV3" s="9">
        <v>26.2</v>
      </c>
      <c r="BW3" s="9">
        <v>32.700000000000003</v>
      </c>
      <c r="BX3" s="9">
        <v>31.3</v>
      </c>
      <c r="BY3" s="9">
        <v>32.6</v>
      </c>
      <c r="BZ3" s="9">
        <v>35.799999999999997</v>
      </c>
      <c r="CA3" s="9">
        <v>33.4</v>
      </c>
      <c r="CB3" s="10">
        <v>32.1</v>
      </c>
    </row>
    <row r="4" spans="1:80" x14ac:dyDescent="0.2">
      <c r="A4" s="11">
        <v>607</v>
      </c>
      <c r="B4" s="7">
        <v>30</v>
      </c>
      <c r="C4" s="2">
        <v>30</v>
      </c>
      <c r="D4" s="2">
        <v>30.7</v>
      </c>
      <c r="E4" s="2">
        <v>32.700000000000003</v>
      </c>
      <c r="F4" s="2">
        <v>32.299999999999997</v>
      </c>
      <c r="G4" s="2">
        <v>30.1</v>
      </c>
      <c r="H4" s="2">
        <v>23.4</v>
      </c>
      <c r="I4" s="2">
        <v>31</v>
      </c>
      <c r="J4" s="2">
        <v>29.7</v>
      </c>
      <c r="K4" s="2">
        <v>27.1</v>
      </c>
      <c r="L4" s="2">
        <v>23.2</v>
      </c>
      <c r="M4" s="2">
        <v>34.299999999999997</v>
      </c>
      <c r="N4" s="2">
        <v>37.799999999999997</v>
      </c>
      <c r="O4" s="2">
        <v>36.799999999999997</v>
      </c>
      <c r="P4" s="2">
        <v>31</v>
      </c>
      <c r="Q4" s="2">
        <v>36.9</v>
      </c>
      <c r="R4" s="2">
        <v>30.7</v>
      </c>
      <c r="S4" s="2">
        <v>31.5</v>
      </c>
      <c r="T4" s="2">
        <v>36.6</v>
      </c>
      <c r="U4" s="2">
        <v>38.299999999999997</v>
      </c>
      <c r="V4" s="2">
        <v>25.6</v>
      </c>
      <c r="W4" s="2">
        <v>32.299999999999997</v>
      </c>
      <c r="X4" s="2">
        <v>38.1</v>
      </c>
      <c r="Y4" s="2">
        <v>33</v>
      </c>
      <c r="Z4" s="2">
        <v>34.4</v>
      </c>
      <c r="AA4" s="2">
        <v>28.2</v>
      </c>
      <c r="AB4" s="2">
        <v>28.6</v>
      </c>
      <c r="AC4" s="2">
        <v>28</v>
      </c>
      <c r="AD4" s="2">
        <v>25.3</v>
      </c>
      <c r="AE4" s="2">
        <v>28</v>
      </c>
      <c r="AF4" s="2">
        <v>30.4</v>
      </c>
      <c r="AG4" s="2">
        <v>27.5</v>
      </c>
      <c r="AH4" s="2">
        <v>37.1</v>
      </c>
      <c r="AJ4" s="2">
        <v>33.6</v>
      </c>
      <c r="AK4" s="2">
        <v>28.7</v>
      </c>
      <c r="AL4" s="2">
        <v>39.1</v>
      </c>
      <c r="AM4" s="2">
        <v>26.8</v>
      </c>
      <c r="AN4" s="2">
        <v>31.3</v>
      </c>
      <c r="AO4" s="7">
        <v>24.7</v>
      </c>
      <c r="AP4" s="2">
        <v>27.4</v>
      </c>
      <c r="AQ4" s="2">
        <v>24.8</v>
      </c>
      <c r="AR4" s="2">
        <v>23</v>
      </c>
      <c r="AS4" s="2">
        <v>30.3</v>
      </c>
      <c r="AT4" s="2">
        <v>27.8</v>
      </c>
      <c r="AU4" s="2">
        <v>25.2</v>
      </c>
      <c r="AV4" s="2">
        <v>23.5</v>
      </c>
      <c r="AW4" s="2">
        <v>32.6</v>
      </c>
      <c r="AX4" s="2">
        <v>28.2</v>
      </c>
      <c r="AY4" s="2">
        <v>28</v>
      </c>
      <c r="AZ4" s="2">
        <v>24.8</v>
      </c>
      <c r="BA4" s="2">
        <v>27</v>
      </c>
      <c r="BB4" s="2">
        <v>27</v>
      </c>
      <c r="BC4" s="2">
        <v>26.4</v>
      </c>
      <c r="BD4" s="2">
        <v>24.9</v>
      </c>
      <c r="BE4" s="2">
        <v>38.5</v>
      </c>
      <c r="BF4" s="2">
        <v>27.3</v>
      </c>
      <c r="BG4" s="2">
        <v>28</v>
      </c>
      <c r="BH4" s="2">
        <v>23</v>
      </c>
      <c r="BI4" s="2">
        <v>22.6</v>
      </c>
      <c r="BJ4" s="2">
        <v>22.8</v>
      </c>
      <c r="BK4" s="2">
        <v>27.4</v>
      </c>
      <c r="BL4" s="2">
        <v>34.799999999999997</v>
      </c>
      <c r="BM4" s="2">
        <v>24.9</v>
      </c>
      <c r="BN4" s="2">
        <v>22.4</v>
      </c>
      <c r="BO4" s="2">
        <v>27.4</v>
      </c>
      <c r="BP4" s="2">
        <v>29</v>
      </c>
      <c r="BQ4" s="2">
        <v>28</v>
      </c>
      <c r="BR4" s="2">
        <v>26</v>
      </c>
      <c r="BS4" s="2">
        <v>27</v>
      </c>
      <c r="BT4" s="2">
        <v>25.6</v>
      </c>
      <c r="BU4" s="2">
        <v>27.2</v>
      </c>
      <c r="BV4" s="2">
        <v>23.5</v>
      </c>
      <c r="BW4" s="2">
        <v>26.8</v>
      </c>
      <c r="BX4" s="2">
        <v>28</v>
      </c>
      <c r="BY4" s="2">
        <v>29</v>
      </c>
      <c r="BZ4" s="2">
        <v>30</v>
      </c>
      <c r="CA4" s="2">
        <v>28.3</v>
      </c>
      <c r="CB4" s="12">
        <v>27.6</v>
      </c>
    </row>
    <row r="5" spans="1:80" x14ac:dyDescent="0.2">
      <c r="A5" s="11">
        <v>614</v>
      </c>
      <c r="B5" s="7">
        <v>29.7</v>
      </c>
      <c r="C5" s="2">
        <v>30</v>
      </c>
      <c r="D5" s="2">
        <v>31.4</v>
      </c>
      <c r="E5" s="2">
        <v>33.299999999999997</v>
      </c>
      <c r="F5" s="2">
        <v>32.799999999999997</v>
      </c>
      <c r="G5" s="2">
        <v>29.4</v>
      </c>
      <c r="H5" s="2">
        <v>23.3</v>
      </c>
      <c r="I5" s="2">
        <v>30.2</v>
      </c>
      <c r="J5" s="2">
        <v>30.4</v>
      </c>
      <c r="K5" s="2">
        <v>26.9</v>
      </c>
      <c r="L5" s="2">
        <v>23.7</v>
      </c>
      <c r="M5" s="2">
        <v>34.799999999999997</v>
      </c>
      <c r="N5" s="2">
        <v>38</v>
      </c>
      <c r="O5" s="2">
        <v>37.9</v>
      </c>
      <c r="P5" s="2">
        <v>30.7</v>
      </c>
      <c r="Q5" s="2">
        <v>36.1</v>
      </c>
      <c r="R5" s="2">
        <v>30.4</v>
      </c>
      <c r="S5" s="2">
        <v>30.3</v>
      </c>
      <c r="T5" s="2">
        <v>36.4</v>
      </c>
      <c r="U5" s="2">
        <v>38.299999999999997</v>
      </c>
      <c r="V5" s="2">
        <v>25.6</v>
      </c>
      <c r="W5" s="2">
        <v>32</v>
      </c>
      <c r="X5" s="2">
        <v>38</v>
      </c>
      <c r="Y5" s="2">
        <v>31.5</v>
      </c>
      <c r="Z5" s="2">
        <v>34.6</v>
      </c>
      <c r="AA5" s="2">
        <v>28</v>
      </c>
      <c r="AB5" s="2">
        <v>27.2</v>
      </c>
      <c r="AC5" s="2">
        <v>29</v>
      </c>
      <c r="AD5" s="2">
        <v>25.6</v>
      </c>
      <c r="AE5" s="2">
        <v>28</v>
      </c>
      <c r="AF5" s="2">
        <v>31.5</v>
      </c>
      <c r="AG5" s="2">
        <v>26.4</v>
      </c>
      <c r="AH5" s="2">
        <v>37.5</v>
      </c>
      <c r="AJ5" s="2">
        <v>33.200000000000003</v>
      </c>
      <c r="AK5" s="2">
        <v>29</v>
      </c>
      <c r="AL5" s="2">
        <v>38.700000000000003</v>
      </c>
      <c r="AM5" s="2">
        <v>27.2</v>
      </c>
      <c r="AN5" s="2">
        <v>30.7</v>
      </c>
      <c r="AO5" s="7">
        <v>24.7</v>
      </c>
      <c r="AP5" s="2">
        <v>26.6</v>
      </c>
      <c r="AQ5" s="2">
        <v>24.5</v>
      </c>
      <c r="AR5" s="2">
        <v>21.3</v>
      </c>
      <c r="AS5" s="2">
        <v>28.6</v>
      </c>
      <c r="AT5" s="2">
        <v>27.2</v>
      </c>
      <c r="AU5" s="2">
        <v>26.4</v>
      </c>
      <c r="AV5" s="2">
        <v>25.6</v>
      </c>
      <c r="AW5" s="2">
        <v>33</v>
      </c>
      <c r="AX5" s="2">
        <v>28</v>
      </c>
      <c r="AY5" s="2">
        <v>28</v>
      </c>
      <c r="AZ5" s="2">
        <v>24.8</v>
      </c>
      <c r="BA5" s="2">
        <v>26</v>
      </c>
      <c r="BB5" s="2">
        <v>27.4</v>
      </c>
      <c r="BC5" s="2">
        <v>25</v>
      </c>
      <c r="BD5" s="2">
        <v>21.9</v>
      </c>
      <c r="BE5" s="2">
        <v>35</v>
      </c>
      <c r="BF5" s="2">
        <v>27</v>
      </c>
      <c r="BG5" s="2">
        <v>26.7</v>
      </c>
      <c r="BH5" s="2">
        <v>23.8</v>
      </c>
      <c r="BI5" s="2">
        <v>21.5</v>
      </c>
      <c r="BJ5" s="2">
        <v>23</v>
      </c>
      <c r="BK5" s="2">
        <v>26</v>
      </c>
      <c r="BL5" s="2">
        <v>33.200000000000003</v>
      </c>
      <c r="BM5" s="2">
        <v>24.7</v>
      </c>
      <c r="BN5" s="2">
        <v>22.8</v>
      </c>
      <c r="BO5" s="2">
        <v>28.1</v>
      </c>
      <c r="BP5" s="2">
        <v>28.3</v>
      </c>
      <c r="BQ5" s="2">
        <v>27.6</v>
      </c>
      <c r="BR5" s="2">
        <v>25.5</v>
      </c>
      <c r="BS5" s="2">
        <v>25.4</v>
      </c>
      <c r="BT5" s="2">
        <v>26</v>
      </c>
      <c r="BU5" s="2">
        <v>26.8</v>
      </c>
      <c r="BV5" s="2">
        <v>23.4</v>
      </c>
      <c r="BW5" s="2">
        <v>26</v>
      </c>
      <c r="BX5" s="2">
        <v>27.5</v>
      </c>
      <c r="BY5" s="2">
        <v>26.9</v>
      </c>
      <c r="BZ5" s="2">
        <v>28</v>
      </c>
      <c r="CA5" s="2">
        <v>28.6</v>
      </c>
      <c r="CB5" s="12">
        <v>28</v>
      </c>
    </row>
    <row r="6" spans="1:80" x14ac:dyDescent="0.2">
      <c r="A6" s="11">
        <v>621</v>
      </c>
      <c r="B6" s="7">
        <v>29.5</v>
      </c>
      <c r="C6" s="2">
        <v>30</v>
      </c>
      <c r="D6" s="2">
        <v>31.1</v>
      </c>
      <c r="E6" s="2">
        <v>32.200000000000003</v>
      </c>
      <c r="F6" s="2">
        <v>32.299999999999997</v>
      </c>
      <c r="G6" s="2">
        <v>29.3</v>
      </c>
      <c r="H6" s="2">
        <v>25.5</v>
      </c>
      <c r="I6" s="2">
        <v>29.8</v>
      </c>
      <c r="J6" s="2">
        <v>29.7</v>
      </c>
      <c r="K6" s="2">
        <v>26.5</v>
      </c>
      <c r="L6" s="2">
        <v>24</v>
      </c>
      <c r="M6" s="2">
        <v>35.200000000000003</v>
      </c>
      <c r="N6" s="2">
        <v>39.5</v>
      </c>
      <c r="O6" s="2">
        <v>40</v>
      </c>
      <c r="P6" s="2">
        <v>30</v>
      </c>
      <c r="Q6" s="2">
        <v>37</v>
      </c>
      <c r="R6" s="2">
        <v>29.1</v>
      </c>
      <c r="S6" s="2">
        <v>30</v>
      </c>
      <c r="T6" s="2">
        <v>36.799999999999997</v>
      </c>
      <c r="U6" s="2">
        <v>40</v>
      </c>
      <c r="V6" s="2">
        <v>26</v>
      </c>
      <c r="W6" s="2">
        <v>32.5</v>
      </c>
      <c r="X6" s="2">
        <v>38.200000000000003</v>
      </c>
      <c r="Y6" s="2">
        <v>31.8</v>
      </c>
      <c r="Z6" s="2">
        <v>34</v>
      </c>
      <c r="AA6" s="2">
        <v>28.6</v>
      </c>
      <c r="AB6" s="2">
        <v>27.8</v>
      </c>
      <c r="AC6" s="2">
        <v>29.1</v>
      </c>
      <c r="AD6" s="2">
        <v>26</v>
      </c>
      <c r="AE6" s="2">
        <v>27.5</v>
      </c>
      <c r="AF6" s="2">
        <v>32</v>
      </c>
      <c r="AG6" s="2">
        <v>26.6</v>
      </c>
      <c r="AH6" s="2">
        <v>38.299999999999997</v>
      </c>
      <c r="AJ6" s="2">
        <v>33.6</v>
      </c>
      <c r="AK6" s="2">
        <v>28.5</v>
      </c>
      <c r="AL6" s="2">
        <v>38.5</v>
      </c>
      <c r="AM6" s="2">
        <v>28</v>
      </c>
      <c r="AN6" s="2">
        <v>31</v>
      </c>
      <c r="AO6" s="7">
        <v>24.1</v>
      </c>
      <c r="AP6" s="2">
        <v>28</v>
      </c>
      <c r="AQ6" s="2">
        <v>25.7</v>
      </c>
      <c r="AR6" s="2">
        <v>24.6</v>
      </c>
      <c r="AS6" s="2">
        <v>29</v>
      </c>
      <c r="AT6" s="2">
        <v>26.7</v>
      </c>
      <c r="AU6" s="2">
        <v>27</v>
      </c>
      <c r="AV6" s="2">
        <v>25.8</v>
      </c>
      <c r="AW6" s="2">
        <v>30</v>
      </c>
      <c r="AX6" s="2">
        <v>28</v>
      </c>
      <c r="AY6" s="2">
        <v>29.4</v>
      </c>
      <c r="AZ6" s="2">
        <v>25</v>
      </c>
      <c r="BA6" s="2">
        <v>26.7</v>
      </c>
      <c r="BB6" s="2">
        <v>27</v>
      </c>
      <c r="BC6" s="2">
        <v>25</v>
      </c>
      <c r="BD6" s="2">
        <v>23.6</v>
      </c>
      <c r="BE6" s="2">
        <v>32</v>
      </c>
      <c r="BF6" s="2">
        <v>27</v>
      </c>
      <c r="BG6" s="2">
        <v>26.7</v>
      </c>
      <c r="BH6" s="2">
        <v>24</v>
      </c>
      <c r="BI6" s="2">
        <v>22.2</v>
      </c>
      <c r="BJ6" s="2">
        <v>23.6</v>
      </c>
      <c r="BK6" s="2">
        <v>26.8</v>
      </c>
      <c r="BL6" s="2">
        <v>32.1</v>
      </c>
      <c r="BM6" s="2">
        <v>24.3</v>
      </c>
      <c r="BN6" s="2">
        <v>24</v>
      </c>
      <c r="BO6" s="2">
        <v>28.7</v>
      </c>
      <c r="BP6" s="2">
        <v>28</v>
      </c>
      <c r="BQ6" s="2">
        <v>31.2</v>
      </c>
      <c r="BR6" s="2">
        <v>25.3</v>
      </c>
      <c r="BS6" s="2">
        <v>25.7</v>
      </c>
      <c r="BT6" s="2">
        <v>26</v>
      </c>
      <c r="BU6" s="2">
        <v>27.1</v>
      </c>
      <c r="BV6" s="2">
        <v>23.4</v>
      </c>
      <c r="BW6" s="2">
        <v>25.8</v>
      </c>
      <c r="BX6" s="2">
        <v>27</v>
      </c>
      <c r="BY6" s="2">
        <v>27</v>
      </c>
      <c r="BZ6" s="2">
        <v>28</v>
      </c>
      <c r="CA6" s="2">
        <v>28</v>
      </c>
      <c r="CB6" s="12">
        <v>28.2</v>
      </c>
    </row>
    <row r="7" spans="1:80" x14ac:dyDescent="0.2">
      <c r="A7" s="11">
        <v>628</v>
      </c>
      <c r="B7" s="7">
        <v>29</v>
      </c>
      <c r="C7" s="2">
        <v>30</v>
      </c>
      <c r="D7" s="2">
        <v>31.1</v>
      </c>
      <c r="E7" s="2">
        <v>31.8</v>
      </c>
      <c r="F7" s="2">
        <v>32.1</v>
      </c>
      <c r="G7" s="2">
        <v>29</v>
      </c>
      <c r="H7" s="2">
        <v>25.9</v>
      </c>
      <c r="I7" s="2">
        <v>30.1</v>
      </c>
      <c r="J7" s="2">
        <v>30</v>
      </c>
      <c r="K7" s="2">
        <v>26.3</v>
      </c>
      <c r="L7" s="2">
        <v>24.6</v>
      </c>
      <c r="M7" s="2">
        <v>34.6</v>
      </c>
      <c r="N7" s="2">
        <v>39.200000000000003</v>
      </c>
      <c r="O7" s="2">
        <v>39.5</v>
      </c>
      <c r="P7" s="2">
        <v>29.8</v>
      </c>
      <c r="Q7" s="2">
        <v>36.6</v>
      </c>
      <c r="R7" s="2">
        <v>29</v>
      </c>
      <c r="S7" s="2">
        <v>30.1</v>
      </c>
      <c r="T7" s="2">
        <v>36.700000000000003</v>
      </c>
      <c r="U7" s="2">
        <v>40.1</v>
      </c>
      <c r="V7" s="2">
        <v>25.9</v>
      </c>
      <c r="W7" s="2">
        <v>31.7</v>
      </c>
      <c r="X7" s="2">
        <v>37.5</v>
      </c>
      <c r="Y7" s="2">
        <v>32</v>
      </c>
      <c r="Z7" s="2">
        <v>34.299999999999997</v>
      </c>
      <c r="AA7" s="2">
        <v>29</v>
      </c>
      <c r="AB7" s="2">
        <v>28.3</v>
      </c>
      <c r="AC7" s="2">
        <v>29.6</v>
      </c>
      <c r="AD7" s="2">
        <v>25.4</v>
      </c>
      <c r="AE7" s="2">
        <v>28.2</v>
      </c>
      <c r="AF7" s="2">
        <v>32.299999999999997</v>
      </c>
      <c r="AG7" s="2">
        <v>27.2</v>
      </c>
      <c r="AH7" s="2">
        <v>38</v>
      </c>
      <c r="AJ7" s="2">
        <v>33.5</v>
      </c>
      <c r="AK7" s="2">
        <v>28.9</v>
      </c>
      <c r="AL7" s="2">
        <v>39</v>
      </c>
      <c r="AM7" s="2">
        <v>28.3</v>
      </c>
      <c r="AN7" s="2">
        <v>30.8</v>
      </c>
      <c r="AO7" s="7">
        <v>24</v>
      </c>
      <c r="AP7" s="2">
        <v>28</v>
      </c>
      <c r="AQ7" s="2">
        <v>26.2</v>
      </c>
      <c r="AR7" s="2">
        <v>24</v>
      </c>
      <c r="AS7" s="2">
        <v>30</v>
      </c>
      <c r="AT7" s="2">
        <v>27.2</v>
      </c>
      <c r="AU7" s="2">
        <v>29</v>
      </c>
      <c r="AV7" s="2">
        <v>25.5</v>
      </c>
      <c r="AW7" s="2">
        <v>30</v>
      </c>
      <c r="AX7" s="2">
        <v>28.1</v>
      </c>
      <c r="AY7" s="2">
        <v>28.7</v>
      </c>
      <c r="AZ7" s="2">
        <v>24.6</v>
      </c>
      <c r="BA7" s="2">
        <v>26.4</v>
      </c>
      <c r="BB7" s="2">
        <v>27</v>
      </c>
      <c r="BC7" s="2">
        <v>25.4</v>
      </c>
      <c r="BD7" s="2">
        <v>23.7</v>
      </c>
      <c r="BE7" s="2">
        <v>33.1</v>
      </c>
      <c r="BF7" s="2">
        <v>27.1</v>
      </c>
      <c r="BG7" s="2">
        <v>26.9</v>
      </c>
      <c r="BH7" s="2">
        <v>24</v>
      </c>
      <c r="BI7" s="2">
        <v>22.8</v>
      </c>
      <c r="BJ7" s="2">
        <v>24.1</v>
      </c>
      <c r="BK7" s="2">
        <v>27</v>
      </c>
      <c r="BL7" s="2">
        <v>31.6</v>
      </c>
      <c r="BM7" s="2">
        <v>25.2</v>
      </c>
      <c r="BN7" s="2">
        <v>23.6</v>
      </c>
      <c r="BO7" s="2">
        <v>27.9</v>
      </c>
      <c r="BP7" s="2">
        <v>27.8</v>
      </c>
      <c r="BQ7" s="2">
        <v>33.200000000000003</v>
      </c>
      <c r="BR7" s="2">
        <v>26</v>
      </c>
      <c r="BS7" s="2">
        <v>26</v>
      </c>
      <c r="BT7" s="2">
        <v>26.3</v>
      </c>
      <c r="BU7" s="2">
        <v>26.5</v>
      </c>
      <c r="BV7" s="2">
        <v>23</v>
      </c>
      <c r="BW7" s="2">
        <v>26</v>
      </c>
      <c r="BX7" s="2">
        <v>27.8</v>
      </c>
      <c r="BY7" s="2">
        <v>27.5</v>
      </c>
      <c r="BZ7" s="2">
        <v>27.5</v>
      </c>
      <c r="CA7" s="2">
        <v>28.3</v>
      </c>
      <c r="CB7" s="12">
        <v>28</v>
      </c>
    </row>
    <row r="8" spans="1:80" x14ac:dyDescent="0.2">
      <c r="A8" s="11">
        <v>635</v>
      </c>
      <c r="B8" s="7">
        <v>29.3</v>
      </c>
      <c r="C8" s="2">
        <v>31</v>
      </c>
      <c r="D8" s="2">
        <v>30.5</v>
      </c>
      <c r="E8" s="2">
        <v>32.200000000000003</v>
      </c>
      <c r="F8" s="2">
        <v>31.6</v>
      </c>
      <c r="G8" s="2">
        <v>29</v>
      </c>
      <c r="H8" s="2">
        <v>26</v>
      </c>
      <c r="I8" s="2">
        <v>30.5</v>
      </c>
      <c r="J8" s="2">
        <v>29.4</v>
      </c>
      <c r="K8" s="2">
        <v>26.3</v>
      </c>
      <c r="L8" s="2">
        <v>24</v>
      </c>
      <c r="M8" s="2">
        <v>35.299999999999997</v>
      </c>
      <c r="N8" s="2">
        <v>39.799999999999997</v>
      </c>
      <c r="O8" s="2">
        <v>39</v>
      </c>
      <c r="P8" s="2">
        <v>30</v>
      </c>
      <c r="Q8" s="2">
        <v>36</v>
      </c>
      <c r="R8" s="2">
        <v>29.3</v>
      </c>
      <c r="S8" s="2">
        <v>30</v>
      </c>
      <c r="T8" s="2">
        <v>36.5</v>
      </c>
      <c r="U8" s="2">
        <v>40.200000000000003</v>
      </c>
      <c r="V8" s="2">
        <v>26.6</v>
      </c>
      <c r="W8" s="2">
        <v>31</v>
      </c>
      <c r="X8" s="2">
        <v>36.4</v>
      </c>
      <c r="Y8" s="2">
        <v>33</v>
      </c>
      <c r="Z8" s="2">
        <v>34.200000000000003</v>
      </c>
      <c r="AA8" s="2">
        <v>29.6</v>
      </c>
      <c r="AB8" s="2">
        <v>29.5</v>
      </c>
      <c r="AC8" s="2">
        <v>30.4</v>
      </c>
      <c r="AE8" s="2">
        <v>28</v>
      </c>
      <c r="AF8" s="2">
        <v>32</v>
      </c>
      <c r="AG8" s="2">
        <v>27.5</v>
      </c>
      <c r="AH8" s="2">
        <v>37.4</v>
      </c>
      <c r="AJ8" s="2">
        <v>34.299999999999997</v>
      </c>
      <c r="AK8" s="2">
        <v>29.3</v>
      </c>
      <c r="AL8" s="2">
        <v>39</v>
      </c>
      <c r="AM8" s="2">
        <v>27.6</v>
      </c>
      <c r="AN8" s="2">
        <v>32</v>
      </c>
      <c r="AO8" s="7">
        <v>24.5</v>
      </c>
      <c r="AP8" s="2">
        <v>28.1</v>
      </c>
      <c r="AQ8" s="2">
        <v>26</v>
      </c>
      <c r="AR8" s="2">
        <v>24.3</v>
      </c>
      <c r="AS8" s="2">
        <v>30.1</v>
      </c>
      <c r="AT8" s="2">
        <v>27.8</v>
      </c>
      <c r="AU8" s="2">
        <v>29.3</v>
      </c>
      <c r="AV8" s="2">
        <v>25.8</v>
      </c>
      <c r="AW8" s="2">
        <v>30.1</v>
      </c>
      <c r="AX8" s="2">
        <v>28</v>
      </c>
      <c r="AY8" s="2">
        <v>28.8</v>
      </c>
      <c r="AZ8" s="2">
        <v>24.3</v>
      </c>
      <c r="BA8" s="2">
        <v>26.5</v>
      </c>
      <c r="BB8" s="2">
        <v>27</v>
      </c>
      <c r="BC8" s="2">
        <v>25</v>
      </c>
      <c r="BD8" s="2">
        <v>23.2</v>
      </c>
      <c r="BE8" s="2">
        <v>33.200000000000003</v>
      </c>
      <c r="BF8" s="2">
        <v>27</v>
      </c>
      <c r="BG8" s="2">
        <v>27</v>
      </c>
      <c r="BH8" s="2">
        <v>23.8</v>
      </c>
      <c r="BI8" s="2">
        <v>23</v>
      </c>
      <c r="BJ8" s="2">
        <v>24.2</v>
      </c>
      <c r="BK8" s="2">
        <v>27.2</v>
      </c>
      <c r="BL8" s="2">
        <v>30.8</v>
      </c>
      <c r="BM8" s="2">
        <v>24.8</v>
      </c>
      <c r="BN8" s="2">
        <v>24.5</v>
      </c>
      <c r="BO8" s="2">
        <v>28.3</v>
      </c>
      <c r="BP8" s="2">
        <v>27.6</v>
      </c>
      <c r="BQ8" s="2">
        <v>35</v>
      </c>
      <c r="BR8" s="2">
        <v>27</v>
      </c>
      <c r="BS8" s="2">
        <v>25.3</v>
      </c>
      <c r="BT8" s="2">
        <v>26</v>
      </c>
      <c r="BU8" s="2">
        <v>26.3</v>
      </c>
      <c r="BV8" s="2">
        <v>23.6</v>
      </c>
      <c r="BW8" s="2">
        <v>26.5</v>
      </c>
      <c r="BX8" s="2">
        <v>26.8</v>
      </c>
      <c r="BY8" s="2">
        <v>28</v>
      </c>
      <c r="BZ8" s="2">
        <v>28.4</v>
      </c>
      <c r="CA8" s="2">
        <v>27.9</v>
      </c>
      <c r="CB8" s="12">
        <v>27.6</v>
      </c>
    </row>
    <row r="9" spans="1:80" x14ac:dyDescent="0.2">
      <c r="A9" s="11">
        <v>642</v>
      </c>
      <c r="B9" s="7">
        <v>29</v>
      </c>
      <c r="C9" s="2">
        <v>30.6</v>
      </c>
      <c r="D9" s="2">
        <v>31.1</v>
      </c>
      <c r="E9" s="2">
        <v>31.7</v>
      </c>
      <c r="F9" s="2">
        <v>32</v>
      </c>
      <c r="G9" s="2">
        <v>28.6</v>
      </c>
      <c r="H9" s="2">
        <v>25.6</v>
      </c>
      <c r="I9" s="2">
        <v>29.6</v>
      </c>
      <c r="J9" s="2">
        <v>29.8</v>
      </c>
      <c r="K9" s="2">
        <v>26</v>
      </c>
      <c r="L9" s="2">
        <v>24.3</v>
      </c>
      <c r="M9" s="2">
        <v>34.4</v>
      </c>
      <c r="N9" s="2">
        <v>38.700000000000003</v>
      </c>
      <c r="O9" s="2">
        <v>39.299999999999997</v>
      </c>
      <c r="P9" s="2">
        <v>30.3</v>
      </c>
      <c r="Q9" s="2">
        <v>36.299999999999997</v>
      </c>
      <c r="R9" s="2">
        <v>28.9</v>
      </c>
      <c r="S9" s="2">
        <v>29.4</v>
      </c>
      <c r="T9" s="2">
        <v>36.799999999999997</v>
      </c>
      <c r="U9" s="2">
        <v>40.299999999999997</v>
      </c>
      <c r="V9" s="2">
        <v>26</v>
      </c>
      <c r="W9" s="2">
        <v>30.5</v>
      </c>
      <c r="X9" s="2">
        <v>36.200000000000003</v>
      </c>
      <c r="Y9" s="2">
        <v>33.1</v>
      </c>
      <c r="Z9" s="2">
        <v>34.6</v>
      </c>
      <c r="AA9" s="2">
        <v>30.4</v>
      </c>
      <c r="AB9" s="2">
        <v>30</v>
      </c>
      <c r="AC9" s="2">
        <v>30.5</v>
      </c>
      <c r="AE9" s="2">
        <v>28.8</v>
      </c>
      <c r="AF9" s="2">
        <v>31.6</v>
      </c>
      <c r="AG9" s="2">
        <v>27.8</v>
      </c>
      <c r="AH9" s="2">
        <v>38.9</v>
      </c>
      <c r="AJ9" s="2">
        <v>34</v>
      </c>
      <c r="AK9" s="2">
        <v>29</v>
      </c>
      <c r="AL9" s="2">
        <v>38.5</v>
      </c>
      <c r="AN9" s="2">
        <v>32.5</v>
      </c>
      <c r="AO9" s="7">
        <v>24.8</v>
      </c>
      <c r="AP9" s="2">
        <v>28.4</v>
      </c>
      <c r="AQ9" s="2">
        <v>26.4</v>
      </c>
      <c r="AR9" s="2">
        <v>24.5</v>
      </c>
      <c r="AS9" s="2">
        <v>30.3</v>
      </c>
      <c r="AT9" s="2">
        <v>28</v>
      </c>
      <c r="AU9" s="2">
        <v>29</v>
      </c>
      <c r="AV9" s="2">
        <v>26</v>
      </c>
      <c r="AW9" s="2">
        <v>30.4</v>
      </c>
      <c r="AX9" s="2">
        <v>27.6</v>
      </c>
      <c r="AY9" s="2">
        <v>29</v>
      </c>
      <c r="AZ9" s="2">
        <v>24</v>
      </c>
      <c r="BA9" s="2">
        <v>26.7</v>
      </c>
      <c r="BB9" s="2">
        <v>26.5</v>
      </c>
      <c r="BC9" s="2">
        <v>25.1</v>
      </c>
      <c r="BD9" s="2">
        <v>23.5</v>
      </c>
      <c r="BE9" s="2">
        <v>32.799999999999997</v>
      </c>
      <c r="BF9" s="2">
        <v>27.3</v>
      </c>
      <c r="BG9" s="2">
        <v>26.9</v>
      </c>
      <c r="BH9" s="2">
        <v>24.2</v>
      </c>
      <c r="BI9" s="2">
        <v>22.8</v>
      </c>
      <c r="BJ9" s="2">
        <v>24.9</v>
      </c>
      <c r="BK9" s="2">
        <v>27.6</v>
      </c>
      <c r="BL9" s="2">
        <v>31</v>
      </c>
      <c r="BM9" s="2">
        <v>25.2</v>
      </c>
      <c r="BN9" s="2">
        <v>25</v>
      </c>
      <c r="BO9" s="2">
        <v>28.7</v>
      </c>
      <c r="BP9" s="2">
        <v>27.4</v>
      </c>
      <c r="BQ9" s="2">
        <v>34.200000000000003</v>
      </c>
      <c r="BR9" s="2">
        <v>26.5</v>
      </c>
      <c r="BS9" s="2">
        <v>25.7</v>
      </c>
      <c r="BT9" s="2">
        <v>25.9</v>
      </c>
      <c r="BU9" s="2">
        <v>26.7</v>
      </c>
      <c r="BV9" s="2">
        <v>23.8</v>
      </c>
      <c r="BW9" s="2">
        <v>27</v>
      </c>
      <c r="BX9" s="2">
        <v>27</v>
      </c>
      <c r="BY9" s="2">
        <v>27.4</v>
      </c>
      <c r="BZ9" s="2">
        <v>28.3</v>
      </c>
      <c r="CA9" s="2">
        <v>28.7</v>
      </c>
      <c r="CB9" s="12">
        <v>28.2</v>
      </c>
    </row>
    <row r="10" spans="1:80" x14ac:dyDescent="0.2">
      <c r="A10" s="11">
        <v>649</v>
      </c>
      <c r="B10" s="7">
        <v>30</v>
      </c>
      <c r="C10" s="2">
        <v>30</v>
      </c>
      <c r="D10" s="2">
        <v>32.5</v>
      </c>
      <c r="E10" s="2">
        <v>31.5</v>
      </c>
      <c r="F10" s="2">
        <v>33.5</v>
      </c>
      <c r="G10" s="2">
        <v>28</v>
      </c>
      <c r="H10" s="2">
        <v>26.2</v>
      </c>
      <c r="I10" s="2">
        <v>30</v>
      </c>
      <c r="J10" s="2">
        <v>30.5</v>
      </c>
      <c r="K10" s="2">
        <v>26</v>
      </c>
      <c r="L10" s="2">
        <v>25.1</v>
      </c>
      <c r="M10" s="2">
        <v>36.1</v>
      </c>
      <c r="N10" s="2">
        <v>41</v>
      </c>
      <c r="O10" s="2">
        <v>41.5</v>
      </c>
      <c r="P10" s="2">
        <v>29.5</v>
      </c>
      <c r="Q10" s="2">
        <v>36.799999999999997</v>
      </c>
      <c r="S10" s="2">
        <v>32.200000000000003</v>
      </c>
      <c r="T10" s="2">
        <v>38</v>
      </c>
      <c r="U10" s="2">
        <v>40</v>
      </c>
      <c r="V10" s="2">
        <v>25.1</v>
      </c>
      <c r="W10" s="2">
        <v>30.4</v>
      </c>
      <c r="X10" s="2">
        <v>35.700000000000003</v>
      </c>
      <c r="Y10" s="2">
        <v>32.700000000000003</v>
      </c>
      <c r="Z10" s="2">
        <v>34.799999999999997</v>
      </c>
      <c r="AA10" s="2">
        <v>31</v>
      </c>
      <c r="AB10" s="2">
        <v>30.6</v>
      </c>
      <c r="AC10" s="2">
        <v>30.8</v>
      </c>
      <c r="AE10" s="2">
        <v>29</v>
      </c>
      <c r="AF10" s="2">
        <v>31</v>
      </c>
      <c r="AG10" s="2">
        <v>27.6</v>
      </c>
      <c r="AH10" s="2">
        <v>39.299999999999997</v>
      </c>
      <c r="AJ10" s="2">
        <v>33.6</v>
      </c>
      <c r="AK10" s="2">
        <v>28.7</v>
      </c>
      <c r="AL10" s="2">
        <v>38</v>
      </c>
      <c r="AN10" s="2">
        <v>32</v>
      </c>
      <c r="AO10" s="7">
        <v>25.7</v>
      </c>
      <c r="AP10" s="2">
        <v>28.9</v>
      </c>
      <c r="AQ10" s="2">
        <v>25.3</v>
      </c>
      <c r="AR10" s="2">
        <v>25.5</v>
      </c>
      <c r="AS10" s="2">
        <v>27.6</v>
      </c>
      <c r="AT10" s="2">
        <v>26.8</v>
      </c>
      <c r="AU10" s="2">
        <v>27.2</v>
      </c>
      <c r="AV10" s="2">
        <v>26</v>
      </c>
      <c r="AW10" s="2">
        <v>30</v>
      </c>
      <c r="AX10" s="2">
        <v>27.7</v>
      </c>
      <c r="AZ10" s="2">
        <v>24.8</v>
      </c>
      <c r="BA10" s="2">
        <v>24.3</v>
      </c>
      <c r="BB10" s="2">
        <v>25.3</v>
      </c>
      <c r="BC10" s="2">
        <v>24.7</v>
      </c>
      <c r="BD10" s="2">
        <v>25</v>
      </c>
      <c r="BE10" s="2">
        <v>32</v>
      </c>
      <c r="BF10" s="2">
        <v>27.5</v>
      </c>
      <c r="BG10" s="2">
        <v>28</v>
      </c>
      <c r="BH10" s="2">
        <v>24.7</v>
      </c>
      <c r="BI10" s="2">
        <v>22</v>
      </c>
      <c r="BJ10" s="2">
        <v>25.4</v>
      </c>
      <c r="BK10" s="2">
        <v>27.8</v>
      </c>
      <c r="BL10" s="2">
        <v>31.4</v>
      </c>
      <c r="BM10" s="2">
        <v>25.6</v>
      </c>
      <c r="BN10" s="2">
        <v>25.4</v>
      </c>
      <c r="BO10" s="2">
        <v>29</v>
      </c>
      <c r="BP10" s="2">
        <v>27</v>
      </c>
      <c r="BQ10" s="2">
        <v>33.5</v>
      </c>
      <c r="BR10" s="2">
        <v>26.7</v>
      </c>
      <c r="BS10" s="2">
        <v>26</v>
      </c>
      <c r="BT10" s="2">
        <v>26</v>
      </c>
      <c r="BU10" s="2">
        <v>27.3</v>
      </c>
      <c r="BV10" s="2">
        <v>24</v>
      </c>
      <c r="BW10" s="2">
        <v>26.9</v>
      </c>
      <c r="BX10" s="2">
        <v>27.3</v>
      </c>
      <c r="BY10" s="2">
        <v>27</v>
      </c>
      <c r="BZ10" s="2">
        <v>28.2</v>
      </c>
      <c r="CA10" s="2">
        <v>28.4</v>
      </c>
      <c r="CB10" s="12">
        <v>28</v>
      </c>
    </row>
    <row r="11" spans="1:80" x14ac:dyDescent="0.2">
      <c r="A11" s="11">
        <v>656</v>
      </c>
      <c r="B11" s="7">
        <v>29.5</v>
      </c>
      <c r="C11" s="2">
        <v>31.1</v>
      </c>
      <c r="D11" s="2">
        <v>31.9</v>
      </c>
      <c r="E11" s="2">
        <v>31.3</v>
      </c>
      <c r="F11" s="2">
        <v>34.1</v>
      </c>
      <c r="H11" s="2">
        <v>26.8</v>
      </c>
      <c r="I11" s="2">
        <v>30.2</v>
      </c>
      <c r="J11" s="2">
        <v>30.2</v>
      </c>
      <c r="K11" s="2">
        <v>27.1</v>
      </c>
      <c r="L11" s="2">
        <v>25.4</v>
      </c>
      <c r="M11" s="2">
        <v>36.700000000000003</v>
      </c>
      <c r="N11" s="2">
        <v>42</v>
      </c>
      <c r="O11" s="2">
        <v>41.4</v>
      </c>
      <c r="P11" s="2">
        <v>30</v>
      </c>
      <c r="Q11" s="2">
        <v>37.1</v>
      </c>
      <c r="S11" s="2">
        <v>31.6</v>
      </c>
      <c r="T11" s="2">
        <v>37.5</v>
      </c>
      <c r="U11" s="2">
        <v>40.1</v>
      </c>
      <c r="V11" s="2">
        <v>24</v>
      </c>
      <c r="W11" s="2">
        <v>30</v>
      </c>
      <c r="X11" s="2">
        <v>35</v>
      </c>
      <c r="Y11" s="2">
        <v>32.799999999999997</v>
      </c>
      <c r="Z11" s="2">
        <v>35</v>
      </c>
      <c r="AA11" s="2">
        <v>31.4</v>
      </c>
      <c r="AB11" s="2">
        <v>31.3</v>
      </c>
      <c r="AC11" s="2">
        <v>30.4</v>
      </c>
      <c r="AE11" s="2">
        <v>29.1</v>
      </c>
      <c r="AF11" s="2">
        <v>30</v>
      </c>
      <c r="AG11" s="2">
        <v>27.5</v>
      </c>
      <c r="AH11" s="2">
        <v>40</v>
      </c>
      <c r="AJ11" s="2">
        <v>33.9</v>
      </c>
      <c r="AK11" s="2">
        <v>28.5</v>
      </c>
      <c r="AL11" s="2">
        <v>37.1</v>
      </c>
      <c r="AN11" s="2">
        <v>32.4</v>
      </c>
      <c r="AO11" s="7">
        <v>26.1</v>
      </c>
      <c r="AP11" s="2">
        <v>29</v>
      </c>
      <c r="AQ11" s="2">
        <v>25.8</v>
      </c>
      <c r="AR11" s="2">
        <v>24.9</v>
      </c>
      <c r="AS11" s="2">
        <v>28.6</v>
      </c>
      <c r="AT11" s="2">
        <v>27.1</v>
      </c>
      <c r="AU11" s="2">
        <v>25.6</v>
      </c>
      <c r="AV11" s="2">
        <v>26.1</v>
      </c>
      <c r="AW11" s="2">
        <v>29.4</v>
      </c>
      <c r="AX11" s="2">
        <v>28.3</v>
      </c>
      <c r="AZ11" s="2">
        <v>24.9</v>
      </c>
      <c r="BA11" s="2">
        <v>25.1</v>
      </c>
      <c r="BB11" s="2">
        <v>26</v>
      </c>
      <c r="BC11" s="2">
        <v>25.3</v>
      </c>
      <c r="BD11" s="2">
        <v>25.2</v>
      </c>
      <c r="BE11" s="2">
        <v>32.299999999999997</v>
      </c>
      <c r="BF11" s="2">
        <v>27.8</v>
      </c>
      <c r="BG11" s="2">
        <v>27.2</v>
      </c>
      <c r="BH11" s="2">
        <v>24.4</v>
      </c>
      <c r="BI11" s="2">
        <v>21.8</v>
      </c>
      <c r="BJ11" s="2">
        <v>26</v>
      </c>
      <c r="BK11" s="2">
        <v>28</v>
      </c>
      <c r="BL11" s="2">
        <v>32</v>
      </c>
      <c r="BM11" s="2">
        <v>26</v>
      </c>
      <c r="BN11" s="2">
        <v>25.9</v>
      </c>
      <c r="BO11" s="2">
        <v>29</v>
      </c>
      <c r="BP11" s="2">
        <v>27</v>
      </c>
      <c r="BQ11" s="2">
        <v>32.299999999999997</v>
      </c>
      <c r="BR11" s="2">
        <v>26.2</v>
      </c>
      <c r="BS11" s="2">
        <v>26.2</v>
      </c>
      <c r="BT11" s="2">
        <v>25.7</v>
      </c>
      <c r="BU11" s="2">
        <v>27.8</v>
      </c>
      <c r="BV11" s="2">
        <v>24</v>
      </c>
      <c r="BW11" s="2">
        <v>27.8</v>
      </c>
      <c r="BX11" s="2">
        <v>28</v>
      </c>
      <c r="BY11" s="2">
        <v>26.6</v>
      </c>
      <c r="BZ11" s="2">
        <v>28</v>
      </c>
      <c r="CA11" s="2">
        <v>28.2</v>
      </c>
      <c r="CB11" s="12">
        <v>27.8</v>
      </c>
    </row>
    <row r="12" spans="1:80" x14ac:dyDescent="0.2">
      <c r="A12" s="11">
        <v>663</v>
      </c>
      <c r="B12" s="7">
        <v>30</v>
      </c>
      <c r="C12" s="2">
        <v>31.2</v>
      </c>
      <c r="D12" s="2">
        <v>30</v>
      </c>
      <c r="E12" s="2">
        <v>30.9</v>
      </c>
      <c r="F12" s="2">
        <v>35.6</v>
      </c>
      <c r="H12" s="2">
        <v>27</v>
      </c>
      <c r="I12" s="2">
        <v>30.8</v>
      </c>
      <c r="J12" s="2">
        <v>30.5</v>
      </c>
      <c r="K12" s="2">
        <v>28.6</v>
      </c>
      <c r="L12" s="2">
        <v>25.6</v>
      </c>
      <c r="M12" s="2">
        <v>38.200000000000003</v>
      </c>
      <c r="N12" s="2">
        <v>42.7</v>
      </c>
      <c r="O12" s="2">
        <v>42</v>
      </c>
      <c r="P12" s="2">
        <v>28.8</v>
      </c>
      <c r="Q12" s="2">
        <v>35.6</v>
      </c>
      <c r="S12" s="2">
        <v>31.5</v>
      </c>
      <c r="T12" s="2">
        <v>38.299999999999997</v>
      </c>
      <c r="U12" s="2">
        <v>39.5</v>
      </c>
      <c r="V12" s="2">
        <v>23.6</v>
      </c>
      <c r="W12" s="2">
        <v>29.6</v>
      </c>
      <c r="X12" s="2">
        <v>34.200000000000003</v>
      </c>
      <c r="Y12" s="2">
        <v>33</v>
      </c>
      <c r="Z12" s="2">
        <v>34.5</v>
      </c>
      <c r="AA12" s="2">
        <v>31.5</v>
      </c>
      <c r="AB12" s="2">
        <v>31</v>
      </c>
      <c r="AC12" s="2">
        <v>30</v>
      </c>
      <c r="AE12" s="2">
        <v>28.7</v>
      </c>
      <c r="AF12" s="2">
        <v>29.4</v>
      </c>
      <c r="AG12" s="2">
        <v>27</v>
      </c>
      <c r="AH12" s="2">
        <v>39.4</v>
      </c>
      <c r="AJ12" s="2">
        <v>34</v>
      </c>
      <c r="AK12" s="2">
        <v>28.7</v>
      </c>
      <c r="AL12" s="2">
        <v>37.700000000000003</v>
      </c>
      <c r="AN12" s="2">
        <v>33</v>
      </c>
      <c r="AO12" s="7">
        <v>24.6</v>
      </c>
      <c r="AP12" s="2">
        <v>28.5</v>
      </c>
      <c r="AQ12" s="2">
        <v>26.1</v>
      </c>
      <c r="AR12" s="2">
        <v>25.2</v>
      </c>
      <c r="AS12" s="2">
        <v>28.2</v>
      </c>
      <c r="AT12" s="2">
        <v>26</v>
      </c>
      <c r="AU12" s="2">
        <v>27.8</v>
      </c>
      <c r="AV12" s="2">
        <v>27.6</v>
      </c>
      <c r="AW12" s="2">
        <v>30.7</v>
      </c>
      <c r="AX12" s="2">
        <v>28</v>
      </c>
      <c r="AZ12" s="2">
        <v>25.3</v>
      </c>
      <c r="BA12" s="2">
        <v>26</v>
      </c>
      <c r="BB12" s="2">
        <v>27.5</v>
      </c>
      <c r="BC12" s="2">
        <v>25.6</v>
      </c>
      <c r="BD12" s="2">
        <v>25.3</v>
      </c>
      <c r="BE12" s="2">
        <v>31</v>
      </c>
      <c r="BF12" s="2">
        <v>28.3</v>
      </c>
      <c r="BG12" s="2">
        <v>26</v>
      </c>
      <c r="BH12" s="2">
        <v>23</v>
      </c>
      <c r="BI12" s="2">
        <v>23.2</v>
      </c>
      <c r="BJ12" s="2">
        <v>25.4</v>
      </c>
      <c r="BK12" s="2">
        <v>28.3</v>
      </c>
      <c r="BL12" s="2">
        <v>31.8</v>
      </c>
      <c r="BM12" s="2">
        <v>25.5</v>
      </c>
      <c r="BN12" s="2">
        <v>26</v>
      </c>
      <c r="BO12" s="2">
        <v>29.3</v>
      </c>
      <c r="BP12" s="2">
        <v>27.3</v>
      </c>
      <c r="BQ12" s="2">
        <v>31.4</v>
      </c>
      <c r="BR12" s="2">
        <v>25.8</v>
      </c>
      <c r="BS12" s="2">
        <v>26.1</v>
      </c>
      <c r="BT12" s="2">
        <v>26</v>
      </c>
      <c r="BU12" s="2">
        <v>28</v>
      </c>
      <c r="BV12" s="2">
        <v>24.6</v>
      </c>
      <c r="BW12" s="2">
        <v>28</v>
      </c>
      <c r="BX12" s="2">
        <v>27.6</v>
      </c>
      <c r="BY12" s="2">
        <v>26.9</v>
      </c>
      <c r="BZ12" s="2">
        <v>27.6</v>
      </c>
      <c r="CA12" s="2">
        <v>28</v>
      </c>
      <c r="CB12" s="12">
        <v>28.2</v>
      </c>
    </row>
    <row r="13" spans="1:80" x14ac:dyDescent="0.2">
      <c r="A13" s="11">
        <v>670</v>
      </c>
      <c r="B13" s="7">
        <v>29.7</v>
      </c>
      <c r="C13" s="2">
        <v>31</v>
      </c>
      <c r="D13" s="2">
        <v>30</v>
      </c>
      <c r="E13" s="2">
        <v>31.5</v>
      </c>
      <c r="F13" s="2">
        <v>34.799999999999997</v>
      </c>
      <c r="H13" s="2">
        <v>26.5</v>
      </c>
      <c r="I13" s="2">
        <v>30.5</v>
      </c>
      <c r="J13" s="2">
        <v>30</v>
      </c>
      <c r="K13" s="2">
        <v>28</v>
      </c>
      <c r="L13" s="2">
        <v>26.1</v>
      </c>
      <c r="M13" s="2">
        <v>37.9</v>
      </c>
      <c r="N13" s="2">
        <v>41.5</v>
      </c>
      <c r="O13" s="2">
        <v>42</v>
      </c>
      <c r="P13" s="2">
        <v>29.3</v>
      </c>
      <c r="Q13" s="2">
        <v>34</v>
      </c>
      <c r="S13" s="2">
        <v>31</v>
      </c>
      <c r="T13" s="2">
        <v>39</v>
      </c>
      <c r="U13" s="2">
        <v>40</v>
      </c>
      <c r="V13" s="2">
        <v>23.5</v>
      </c>
      <c r="W13" s="2">
        <v>30</v>
      </c>
      <c r="X13" s="2">
        <v>33.299999999999997</v>
      </c>
      <c r="Y13" s="2">
        <v>33.200000000000003</v>
      </c>
      <c r="Z13" s="2">
        <v>34.5</v>
      </c>
      <c r="AA13" s="2">
        <v>31.6</v>
      </c>
      <c r="AB13" s="2">
        <v>31.2</v>
      </c>
      <c r="AC13" s="2">
        <v>30.1</v>
      </c>
      <c r="AE13" s="2">
        <v>28.3</v>
      </c>
      <c r="AF13" s="2">
        <v>29</v>
      </c>
      <c r="AG13" s="2">
        <v>26.9</v>
      </c>
      <c r="AH13" s="2">
        <v>39.1</v>
      </c>
      <c r="AJ13" s="2">
        <v>34.1</v>
      </c>
      <c r="AK13" s="2">
        <v>28.5</v>
      </c>
      <c r="AL13" s="2">
        <v>37.200000000000003</v>
      </c>
      <c r="AN13" s="2">
        <v>32.5</v>
      </c>
      <c r="AO13" s="7">
        <v>25</v>
      </c>
      <c r="AP13" s="2">
        <v>28.3</v>
      </c>
      <c r="AQ13" s="2">
        <v>25.4</v>
      </c>
      <c r="AR13" s="2">
        <v>25</v>
      </c>
      <c r="AS13" s="2">
        <v>28</v>
      </c>
      <c r="AT13" s="2">
        <v>26.5</v>
      </c>
      <c r="AV13" s="2">
        <v>27.2</v>
      </c>
      <c r="AW13" s="2">
        <v>30</v>
      </c>
      <c r="AX13" s="2">
        <v>28.2</v>
      </c>
      <c r="AZ13" s="2">
        <v>25</v>
      </c>
      <c r="BA13" s="2">
        <v>25.7</v>
      </c>
      <c r="BB13" s="2">
        <v>26.5</v>
      </c>
      <c r="BC13" s="2">
        <v>26.1</v>
      </c>
      <c r="BD13" s="2">
        <v>25</v>
      </c>
      <c r="BE13" s="2">
        <v>30.2</v>
      </c>
      <c r="BF13" s="2">
        <v>28</v>
      </c>
      <c r="BG13" s="2">
        <v>26.4</v>
      </c>
      <c r="BH13" s="2">
        <v>23.4</v>
      </c>
      <c r="BI13" s="2">
        <v>23.1</v>
      </c>
      <c r="BJ13" s="2">
        <v>25.6</v>
      </c>
      <c r="BK13" s="2">
        <v>28.3</v>
      </c>
      <c r="BL13" s="2">
        <v>31.8</v>
      </c>
      <c r="BM13" s="2">
        <v>25.8</v>
      </c>
      <c r="BN13" s="2">
        <v>26.1</v>
      </c>
      <c r="BO13" s="2">
        <v>29.4</v>
      </c>
      <c r="BP13" s="2">
        <v>27.4</v>
      </c>
      <c r="BR13" s="2">
        <v>25.6</v>
      </c>
      <c r="BS13" s="2">
        <v>26.4</v>
      </c>
      <c r="BT13" s="2">
        <v>26.2</v>
      </c>
      <c r="BU13" s="2">
        <v>27.9</v>
      </c>
      <c r="BV13" s="2">
        <v>24.9</v>
      </c>
      <c r="BW13" s="2">
        <v>28.3</v>
      </c>
      <c r="BX13" s="2">
        <v>27.3</v>
      </c>
      <c r="BY13" s="2">
        <v>27</v>
      </c>
      <c r="BZ13" s="2">
        <v>26.8</v>
      </c>
      <c r="CA13" s="2">
        <v>28.4</v>
      </c>
      <c r="CB13" s="12">
        <v>28</v>
      </c>
    </row>
    <row r="14" spans="1:80" x14ac:dyDescent="0.2">
      <c r="A14" s="11">
        <v>677</v>
      </c>
      <c r="B14" s="7">
        <v>30.2</v>
      </c>
      <c r="C14" s="2">
        <v>29</v>
      </c>
      <c r="D14" s="2">
        <v>29</v>
      </c>
      <c r="E14" s="2">
        <v>31</v>
      </c>
      <c r="F14" s="2">
        <v>34</v>
      </c>
      <c r="H14" s="2">
        <v>27</v>
      </c>
      <c r="I14" s="2">
        <v>31.2</v>
      </c>
      <c r="J14" s="2">
        <v>30.8</v>
      </c>
      <c r="K14" s="2">
        <v>27.5</v>
      </c>
      <c r="L14" s="2">
        <v>26.4</v>
      </c>
      <c r="M14" s="2">
        <v>38.5</v>
      </c>
      <c r="N14" s="2">
        <v>40.6</v>
      </c>
      <c r="O14" s="2">
        <v>41.3</v>
      </c>
      <c r="P14" s="2">
        <v>29.7</v>
      </c>
      <c r="Q14" s="2">
        <v>32.4</v>
      </c>
      <c r="S14" s="2">
        <v>31.6</v>
      </c>
      <c r="T14" s="2">
        <v>38.700000000000003</v>
      </c>
      <c r="U14" s="2">
        <v>40.200000000000003</v>
      </c>
      <c r="V14" s="2">
        <v>23</v>
      </c>
      <c r="W14" s="2">
        <v>29.8</v>
      </c>
      <c r="Y14" s="2">
        <v>33.1</v>
      </c>
      <c r="Z14" s="2">
        <v>34.5</v>
      </c>
      <c r="AA14" s="2">
        <v>32</v>
      </c>
      <c r="AB14" s="2">
        <v>30.7</v>
      </c>
      <c r="AC14" s="2">
        <v>29.3</v>
      </c>
      <c r="AE14" s="2">
        <v>27.5</v>
      </c>
      <c r="AF14" s="2">
        <v>29.3</v>
      </c>
      <c r="AG14" s="2">
        <v>26.5</v>
      </c>
      <c r="AH14" s="2">
        <v>38.299999999999997</v>
      </c>
      <c r="AJ14" s="2">
        <v>33.4</v>
      </c>
      <c r="AK14" s="2">
        <v>28.4</v>
      </c>
      <c r="AL14" s="2">
        <v>36.6</v>
      </c>
      <c r="AN14" s="2">
        <v>32.6</v>
      </c>
      <c r="AO14" s="7">
        <v>25.6</v>
      </c>
      <c r="AP14" s="2">
        <v>28.5</v>
      </c>
      <c r="AQ14" s="2">
        <v>26.2</v>
      </c>
      <c r="AR14" s="2">
        <v>25.4</v>
      </c>
      <c r="AS14" s="2">
        <v>27.6</v>
      </c>
      <c r="AT14" s="2">
        <v>26</v>
      </c>
      <c r="AV14" s="2">
        <v>26.8</v>
      </c>
      <c r="AW14" s="2">
        <v>29.3</v>
      </c>
      <c r="AX14" s="2">
        <v>26.3</v>
      </c>
      <c r="AZ14" s="2">
        <v>25.7</v>
      </c>
      <c r="BA14" s="2">
        <v>25.4</v>
      </c>
      <c r="BB14" s="2">
        <v>26.3</v>
      </c>
      <c r="BC14" s="2">
        <v>26</v>
      </c>
      <c r="BD14" s="2">
        <v>25.1</v>
      </c>
      <c r="BE14" s="2">
        <v>30.2</v>
      </c>
      <c r="BF14" s="2">
        <v>27.6</v>
      </c>
      <c r="BG14" s="2">
        <v>27</v>
      </c>
      <c r="BH14" s="2">
        <v>23.4</v>
      </c>
      <c r="BI14" s="2">
        <v>23</v>
      </c>
      <c r="BJ14" s="2">
        <v>25.7</v>
      </c>
      <c r="BK14" s="2">
        <v>28.6</v>
      </c>
      <c r="BL14" s="2">
        <v>32.200000000000003</v>
      </c>
      <c r="BM14" s="2">
        <v>25.6</v>
      </c>
      <c r="BN14" s="2">
        <v>25.9</v>
      </c>
      <c r="BO14" s="2">
        <v>29.8</v>
      </c>
      <c r="BP14" s="2">
        <v>27.6</v>
      </c>
      <c r="BR14" s="2">
        <v>25.4</v>
      </c>
      <c r="BS14" s="2">
        <v>26.7</v>
      </c>
      <c r="BT14" s="2">
        <v>26.4</v>
      </c>
      <c r="BU14" s="2">
        <v>28.2</v>
      </c>
      <c r="BV14" s="2">
        <v>25.1</v>
      </c>
      <c r="BW14" s="2">
        <v>28.7</v>
      </c>
      <c r="BX14" s="2">
        <v>27.6</v>
      </c>
      <c r="BY14" s="2">
        <v>26.3</v>
      </c>
      <c r="BZ14" s="2">
        <v>26</v>
      </c>
      <c r="CA14" s="2">
        <v>28.3</v>
      </c>
      <c r="CB14" s="12">
        <v>28.1</v>
      </c>
    </row>
    <row r="15" spans="1:80" x14ac:dyDescent="0.2">
      <c r="A15" s="11">
        <v>684</v>
      </c>
      <c r="B15" s="7">
        <v>30</v>
      </c>
      <c r="C15" s="2">
        <v>26.5</v>
      </c>
      <c r="D15" s="2">
        <v>28.4</v>
      </c>
      <c r="E15" s="2">
        <v>30.5</v>
      </c>
      <c r="F15" s="2">
        <v>34.6</v>
      </c>
      <c r="H15" s="2">
        <v>28</v>
      </c>
      <c r="I15" s="2">
        <v>30.8</v>
      </c>
      <c r="J15" s="2">
        <v>30.4</v>
      </c>
      <c r="K15" s="2">
        <v>27.2</v>
      </c>
      <c r="L15" s="2">
        <v>25.3</v>
      </c>
      <c r="M15" s="2">
        <v>38.200000000000003</v>
      </c>
      <c r="N15" s="2">
        <v>40</v>
      </c>
      <c r="O15" s="2">
        <v>41.4</v>
      </c>
      <c r="P15" s="2">
        <v>29</v>
      </c>
      <c r="S15" s="2">
        <v>32.1</v>
      </c>
      <c r="T15" s="2">
        <v>37.200000000000003</v>
      </c>
      <c r="U15" s="2">
        <v>40.6</v>
      </c>
      <c r="V15" s="2">
        <v>22.5</v>
      </c>
      <c r="W15" s="2">
        <v>29.6</v>
      </c>
      <c r="Y15" s="2">
        <v>33</v>
      </c>
      <c r="Z15" s="2">
        <v>34.700000000000003</v>
      </c>
      <c r="AA15" s="2">
        <v>32.1</v>
      </c>
      <c r="AB15" s="2">
        <v>31</v>
      </c>
      <c r="AC15" s="2">
        <v>29</v>
      </c>
      <c r="AE15" s="2">
        <v>27</v>
      </c>
      <c r="AF15" s="2">
        <v>28.6</v>
      </c>
      <c r="AG15" s="2">
        <v>26</v>
      </c>
      <c r="AH15" s="2">
        <v>38.1</v>
      </c>
      <c r="AJ15" s="2">
        <v>33.6</v>
      </c>
      <c r="AK15" s="2">
        <v>28.6</v>
      </c>
      <c r="AL15" s="2">
        <v>35.700000000000003</v>
      </c>
      <c r="AN15" s="2">
        <v>33</v>
      </c>
      <c r="AO15" s="7">
        <v>27</v>
      </c>
      <c r="AP15" s="2">
        <v>28.6</v>
      </c>
      <c r="AQ15" s="2">
        <v>26.4</v>
      </c>
      <c r="AR15" s="2">
        <v>26</v>
      </c>
      <c r="AS15" s="2">
        <v>28.1</v>
      </c>
      <c r="AT15" s="2">
        <v>25.8</v>
      </c>
      <c r="AV15" s="2">
        <v>26.5</v>
      </c>
      <c r="AW15" s="2">
        <v>29.6</v>
      </c>
      <c r="AX15" s="2">
        <v>26</v>
      </c>
      <c r="AZ15" s="2">
        <v>26.5</v>
      </c>
      <c r="BA15" s="2">
        <v>25.3</v>
      </c>
      <c r="BB15" s="2">
        <v>24.7</v>
      </c>
      <c r="BC15" s="2">
        <v>25.8</v>
      </c>
      <c r="BD15" s="2">
        <v>24.2</v>
      </c>
      <c r="BE15" s="2">
        <v>29.8</v>
      </c>
      <c r="BF15" s="2">
        <v>28</v>
      </c>
      <c r="BG15" s="2">
        <v>27.6</v>
      </c>
      <c r="BH15" s="2">
        <v>23</v>
      </c>
      <c r="BI15" s="2">
        <v>23.2</v>
      </c>
      <c r="BJ15" s="2">
        <v>25.4</v>
      </c>
      <c r="BK15" s="2">
        <v>28.4</v>
      </c>
      <c r="BL15" s="2">
        <v>32</v>
      </c>
      <c r="BM15" s="2">
        <v>25</v>
      </c>
      <c r="BN15" s="2">
        <v>25.7</v>
      </c>
      <c r="BO15" s="2">
        <v>30</v>
      </c>
      <c r="BP15" s="2">
        <v>28</v>
      </c>
      <c r="BR15" s="2">
        <v>25</v>
      </c>
      <c r="BS15" s="2">
        <v>26.3</v>
      </c>
      <c r="BT15" s="2">
        <v>26.6</v>
      </c>
      <c r="BU15" s="2">
        <v>28.4</v>
      </c>
      <c r="BV15" s="2">
        <v>25.3</v>
      </c>
      <c r="BW15" s="2">
        <v>28.3</v>
      </c>
      <c r="BX15" s="2">
        <v>27.4</v>
      </c>
      <c r="BY15" s="2">
        <v>25.3</v>
      </c>
      <c r="CA15" s="2">
        <v>28.3</v>
      </c>
      <c r="CB15" s="12">
        <v>28.4</v>
      </c>
    </row>
    <row r="16" spans="1:80" x14ac:dyDescent="0.2">
      <c r="A16" s="11">
        <v>691</v>
      </c>
      <c r="B16" s="7">
        <v>30.4</v>
      </c>
      <c r="D16" s="2">
        <v>28.5</v>
      </c>
      <c r="E16" s="2">
        <v>31</v>
      </c>
      <c r="F16" s="2">
        <v>34</v>
      </c>
      <c r="H16" s="2">
        <v>27.6</v>
      </c>
      <c r="I16" s="2">
        <v>31.2</v>
      </c>
      <c r="J16" s="2">
        <v>31</v>
      </c>
      <c r="K16" s="2">
        <v>27.4</v>
      </c>
      <c r="L16" s="2">
        <v>25</v>
      </c>
      <c r="M16" s="2">
        <v>38.6</v>
      </c>
      <c r="N16" s="2">
        <v>41.3</v>
      </c>
      <c r="O16" s="2">
        <v>42.1</v>
      </c>
      <c r="P16" s="2">
        <v>29.2</v>
      </c>
      <c r="S16" s="2">
        <v>32</v>
      </c>
      <c r="T16" s="2">
        <v>37.4</v>
      </c>
      <c r="U16" s="2">
        <v>39.6</v>
      </c>
      <c r="V16" s="2">
        <v>22.6</v>
      </c>
      <c r="W16" s="2">
        <v>29.5</v>
      </c>
      <c r="Y16" s="2">
        <v>32.799999999999997</v>
      </c>
      <c r="Z16" s="2">
        <v>35</v>
      </c>
      <c r="AA16" s="2">
        <v>32.5</v>
      </c>
      <c r="AB16" s="2">
        <v>31.2</v>
      </c>
      <c r="AC16" s="2">
        <v>28.7</v>
      </c>
      <c r="AF16" s="2">
        <v>27.9</v>
      </c>
      <c r="AG16" s="2">
        <v>25.4</v>
      </c>
      <c r="AH16" s="2">
        <v>37.6</v>
      </c>
      <c r="AJ16" s="2">
        <v>33.9</v>
      </c>
      <c r="AK16" s="2">
        <v>28.3</v>
      </c>
      <c r="AL16" s="2">
        <v>34.200000000000003</v>
      </c>
      <c r="AN16" s="2">
        <v>32.200000000000003</v>
      </c>
      <c r="AO16" s="7">
        <v>26.4</v>
      </c>
      <c r="AP16" s="2">
        <v>29</v>
      </c>
      <c r="AQ16" s="2">
        <v>26</v>
      </c>
      <c r="AR16" s="2">
        <v>26.2</v>
      </c>
      <c r="AS16" s="2">
        <v>27.6</v>
      </c>
      <c r="AT16" s="2">
        <v>26</v>
      </c>
      <c r="AV16" s="2">
        <v>26.7</v>
      </c>
      <c r="AW16" s="2">
        <v>29</v>
      </c>
      <c r="AX16" s="2">
        <v>26.2</v>
      </c>
      <c r="AZ16" s="2">
        <v>26.3</v>
      </c>
      <c r="BA16" s="2">
        <v>25.6</v>
      </c>
      <c r="BB16" s="2">
        <v>25</v>
      </c>
      <c r="BC16" s="2">
        <v>26</v>
      </c>
      <c r="BD16" s="2">
        <v>24.5</v>
      </c>
      <c r="BE16" s="2">
        <v>30</v>
      </c>
      <c r="BF16" s="2">
        <v>27.6</v>
      </c>
      <c r="BG16" s="2">
        <v>27.3</v>
      </c>
      <c r="BH16" s="2">
        <v>23.1</v>
      </c>
      <c r="BI16" s="2">
        <v>23.4</v>
      </c>
      <c r="BJ16" s="2">
        <v>25.7</v>
      </c>
      <c r="BK16" s="2">
        <v>28.9</v>
      </c>
      <c r="BL16" s="2">
        <v>32.4</v>
      </c>
      <c r="BM16" s="2">
        <v>25.6</v>
      </c>
      <c r="BN16" s="2">
        <v>26</v>
      </c>
      <c r="BO16" s="2">
        <v>29.8</v>
      </c>
      <c r="BP16" s="2">
        <v>28.2</v>
      </c>
      <c r="BS16" s="2">
        <v>26.8</v>
      </c>
      <c r="BT16" s="2">
        <v>26.4</v>
      </c>
      <c r="BU16" s="2">
        <v>28.2</v>
      </c>
      <c r="BV16" s="2">
        <v>25.4</v>
      </c>
      <c r="BW16" s="2">
        <v>28.4</v>
      </c>
      <c r="BX16" s="2">
        <v>27</v>
      </c>
      <c r="BY16" s="2">
        <v>24.3</v>
      </c>
      <c r="CA16" s="2">
        <v>28</v>
      </c>
      <c r="CB16" s="12">
        <v>27.6</v>
      </c>
    </row>
    <row r="17" spans="1:80" x14ac:dyDescent="0.2">
      <c r="A17" s="11">
        <v>698</v>
      </c>
      <c r="B17" s="7">
        <v>30.2</v>
      </c>
      <c r="D17" s="2">
        <v>28.9</v>
      </c>
      <c r="E17" s="2">
        <v>31.2</v>
      </c>
      <c r="H17" s="2">
        <v>28.1</v>
      </c>
      <c r="I17" s="2">
        <v>31.4</v>
      </c>
      <c r="J17" s="2">
        <v>31.1</v>
      </c>
      <c r="K17" s="2">
        <v>27</v>
      </c>
      <c r="M17" s="2">
        <v>38.4</v>
      </c>
      <c r="N17" s="2">
        <v>41.2</v>
      </c>
      <c r="O17" s="2">
        <v>43</v>
      </c>
      <c r="P17" s="2">
        <v>29.4</v>
      </c>
      <c r="S17" s="2">
        <v>31.6</v>
      </c>
      <c r="T17" s="2">
        <v>37.299999999999997</v>
      </c>
      <c r="U17" s="2">
        <v>39.200000000000003</v>
      </c>
      <c r="W17" s="2">
        <v>29</v>
      </c>
      <c r="Y17" s="2">
        <v>33.200000000000003</v>
      </c>
      <c r="Z17" s="2">
        <v>35.4</v>
      </c>
      <c r="AA17" s="2">
        <v>33</v>
      </c>
      <c r="AB17" s="2">
        <v>30.8</v>
      </c>
      <c r="AC17" s="2">
        <v>28.5</v>
      </c>
      <c r="AF17" s="2">
        <v>27.5</v>
      </c>
      <c r="AG17" s="2">
        <v>25.2</v>
      </c>
      <c r="AH17" s="2">
        <v>37.200000000000003</v>
      </c>
      <c r="AJ17" s="2">
        <v>34</v>
      </c>
      <c r="AK17" s="2">
        <v>28</v>
      </c>
      <c r="AL17" s="2">
        <v>34</v>
      </c>
      <c r="AN17" s="2">
        <v>32.799999999999997</v>
      </c>
      <c r="AO17" s="7">
        <v>26.7</v>
      </c>
      <c r="AP17" s="2">
        <v>29.3</v>
      </c>
      <c r="AQ17" s="2">
        <v>26</v>
      </c>
      <c r="AR17" s="2">
        <v>26.5</v>
      </c>
      <c r="AS17" s="2">
        <v>27.5</v>
      </c>
      <c r="AT17" s="2">
        <v>26.1</v>
      </c>
      <c r="AV17" s="2">
        <v>27</v>
      </c>
      <c r="AW17" s="2">
        <v>28.7</v>
      </c>
      <c r="AX17" s="2">
        <v>26</v>
      </c>
      <c r="AZ17" s="2">
        <v>26.2</v>
      </c>
      <c r="BA17" s="2">
        <v>25.9</v>
      </c>
      <c r="BB17" s="2">
        <v>25.2</v>
      </c>
      <c r="BC17" s="2">
        <v>26.2</v>
      </c>
      <c r="BD17" s="2">
        <v>24.2</v>
      </c>
      <c r="BE17" s="2">
        <v>30.2</v>
      </c>
      <c r="BF17" s="2">
        <v>27.8</v>
      </c>
      <c r="BG17" s="2">
        <v>27</v>
      </c>
      <c r="BH17" s="2">
        <v>22.8</v>
      </c>
      <c r="BI17" s="2">
        <v>22.8</v>
      </c>
      <c r="BJ17" s="2">
        <v>25.6</v>
      </c>
      <c r="BK17" s="2">
        <v>29</v>
      </c>
      <c r="BL17" s="2">
        <v>32.299999999999997</v>
      </c>
      <c r="BM17" s="2">
        <v>25.2</v>
      </c>
      <c r="BN17" s="2">
        <v>26.2</v>
      </c>
      <c r="BO17" s="2">
        <v>30.2</v>
      </c>
      <c r="BP17" s="2">
        <v>28.7</v>
      </c>
      <c r="BS17" s="2">
        <v>26.3</v>
      </c>
      <c r="BT17" s="2">
        <v>26.8</v>
      </c>
      <c r="BU17" s="2">
        <v>28.3</v>
      </c>
      <c r="BV17" s="2">
        <v>26.3</v>
      </c>
      <c r="BW17" s="2">
        <v>28.4</v>
      </c>
      <c r="BX17" s="2">
        <v>26.8</v>
      </c>
      <c r="BY17" s="2">
        <v>23.8</v>
      </c>
      <c r="CA17" s="2">
        <v>28.3</v>
      </c>
      <c r="CB17" s="12">
        <v>27.9</v>
      </c>
    </row>
    <row r="18" spans="1:80" x14ac:dyDescent="0.2">
      <c r="A18" s="11">
        <v>705</v>
      </c>
      <c r="B18" s="7">
        <v>30.8</v>
      </c>
      <c r="D18" s="2">
        <v>29</v>
      </c>
      <c r="E18" s="2">
        <v>31.4</v>
      </c>
      <c r="H18" s="2">
        <v>27.4</v>
      </c>
      <c r="I18" s="2">
        <v>32</v>
      </c>
      <c r="J18" s="2">
        <v>31.5</v>
      </c>
      <c r="K18" s="2">
        <v>26.4</v>
      </c>
      <c r="M18" s="2">
        <v>39</v>
      </c>
      <c r="N18" s="2">
        <v>42.3</v>
      </c>
      <c r="O18" s="2">
        <v>43.5</v>
      </c>
      <c r="P18" s="2">
        <v>29.4</v>
      </c>
      <c r="S18" s="2">
        <v>31.5</v>
      </c>
      <c r="T18" s="2">
        <v>37.6</v>
      </c>
      <c r="U18" s="2">
        <v>38.9</v>
      </c>
      <c r="W18" s="2">
        <v>29.4</v>
      </c>
      <c r="Y18" s="2">
        <v>33.4</v>
      </c>
      <c r="Z18" s="2">
        <v>35.200000000000003</v>
      </c>
      <c r="AA18" s="2">
        <v>33.1</v>
      </c>
      <c r="AB18" s="2">
        <v>30.6</v>
      </c>
      <c r="AC18" s="2">
        <v>28</v>
      </c>
      <c r="AF18" s="2">
        <v>27</v>
      </c>
      <c r="AJ18" s="2">
        <v>34.1</v>
      </c>
      <c r="AK18" s="2">
        <v>27.8</v>
      </c>
      <c r="AL18" s="2">
        <v>33.6</v>
      </c>
      <c r="AN18" s="2">
        <v>33</v>
      </c>
      <c r="AO18" s="7">
        <v>27</v>
      </c>
      <c r="AP18" s="2">
        <v>29.2</v>
      </c>
      <c r="AQ18" s="2">
        <v>25.8</v>
      </c>
      <c r="AR18" s="2">
        <v>25.7</v>
      </c>
      <c r="AS18" s="2">
        <v>27.2</v>
      </c>
      <c r="AT18" s="2">
        <v>26.3</v>
      </c>
      <c r="AV18" s="2">
        <v>26.9</v>
      </c>
      <c r="AW18" s="2">
        <v>28.6</v>
      </c>
      <c r="AX18" s="2">
        <v>26.7</v>
      </c>
      <c r="AZ18" s="2">
        <v>26</v>
      </c>
      <c r="BA18" s="2">
        <v>26</v>
      </c>
      <c r="BB18" s="2">
        <v>25</v>
      </c>
      <c r="BC18" s="2">
        <v>25.7</v>
      </c>
      <c r="BD18" s="2">
        <v>23.9</v>
      </c>
      <c r="BE18" s="2">
        <v>30.5</v>
      </c>
      <c r="BF18" s="2">
        <v>27.2</v>
      </c>
      <c r="BG18" s="2">
        <v>27.2</v>
      </c>
      <c r="BH18" s="2">
        <v>22.6</v>
      </c>
      <c r="BI18" s="2">
        <v>23</v>
      </c>
      <c r="BJ18" s="2">
        <v>25.3</v>
      </c>
      <c r="BK18" s="2">
        <v>29.3</v>
      </c>
      <c r="BL18" s="2">
        <v>32</v>
      </c>
      <c r="BM18" s="2">
        <v>24.7</v>
      </c>
      <c r="BN18" s="2">
        <v>26</v>
      </c>
      <c r="BO18" s="2">
        <v>30.4</v>
      </c>
      <c r="BP18" s="2">
        <v>29</v>
      </c>
      <c r="BS18" s="2">
        <v>26.5</v>
      </c>
      <c r="BT18" s="2">
        <v>26.3</v>
      </c>
      <c r="BU18" s="2">
        <v>28</v>
      </c>
      <c r="BV18" s="2">
        <v>26.7</v>
      </c>
      <c r="BW18" s="2">
        <v>28.7</v>
      </c>
      <c r="BX18" s="2">
        <v>26.9</v>
      </c>
      <c r="CA18" s="2">
        <v>27.7</v>
      </c>
      <c r="CB18" s="12">
        <v>28</v>
      </c>
    </row>
    <row r="19" spans="1:80" x14ac:dyDescent="0.2">
      <c r="A19" s="11">
        <v>712</v>
      </c>
      <c r="B19" s="7">
        <v>31</v>
      </c>
      <c r="D19" s="2">
        <v>29.2</v>
      </c>
      <c r="E19" s="2">
        <v>30.9</v>
      </c>
      <c r="H19" s="2">
        <v>28</v>
      </c>
      <c r="I19" s="2">
        <v>31.5</v>
      </c>
      <c r="J19" s="2">
        <v>32</v>
      </c>
      <c r="K19" s="2">
        <v>26.5</v>
      </c>
      <c r="M19" s="2">
        <v>38.1</v>
      </c>
      <c r="N19" s="2">
        <v>42</v>
      </c>
      <c r="O19" s="2">
        <v>44</v>
      </c>
      <c r="P19" s="2">
        <v>29</v>
      </c>
      <c r="S19" s="2">
        <v>32</v>
      </c>
      <c r="T19" s="2">
        <v>38</v>
      </c>
      <c r="U19" s="2">
        <v>38.200000000000003</v>
      </c>
      <c r="W19" s="2">
        <v>29.1</v>
      </c>
      <c r="Y19" s="2">
        <v>33.5</v>
      </c>
      <c r="AA19" s="2">
        <v>33.200000000000003</v>
      </c>
      <c r="AB19" s="2">
        <v>30.4</v>
      </c>
      <c r="AC19" s="2">
        <v>27.3</v>
      </c>
      <c r="AF19" s="2">
        <v>26.6</v>
      </c>
      <c r="AJ19" s="2">
        <v>33.9</v>
      </c>
      <c r="AK19" s="2">
        <v>27.2</v>
      </c>
      <c r="AL19" s="2">
        <v>33.5</v>
      </c>
      <c r="AN19" s="2">
        <v>33.4</v>
      </c>
      <c r="AO19" s="7">
        <v>27.1</v>
      </c>
      <c r="AP19" s="2">
        <v>29.7</v>
      </c>
      <c r="AR19" s="2">
        <v>25.9</v>
      </c>
      <c r="AS19" s="2">
        <v>27.6</v>
      </c>
      <c r="AT19" s="2">
        <v>26</v>
      </c>
      <c r="AV19" s="2">
        <v>27.3</v>
      </c>
      <c r="AW19" s="2">
        <v>28.3</v>
      </c>
      <c r="AX19" s="2">
        <v>27</v>
      </c>
      <c r="AZ19" s="2">
        <v>25.8</v>
      </c>
      <c r="BA19" s="2">
        <v>25.7</v>
      </c>
      <c r="BB19" s="2">
        <v>25.4</v>
      </c>
      <c r="BC19" s="2">
        <v>26</v>
      </c>
      <c r="BD19" s="2">
        <v>24.5</v>
      </c>
      <c r="BE19" s="2">
        <v>29.5</v>
      </c>
      <c r="BF19" s="2">
        <v>27</v>
      </c>
      <c r="BG19" s="2">
        <v>27</v>
      </c>
      <c r="BH19" s="2">
        <v>23</v>
      </c>
      <c r="BI19" s="2">
        <v>22.7</v>
      </c>
      <c r="BJ19" s="2">
        <v>25</v>
      </c>
      <c r="BK19" s="2">
        <v>29.6</v>
      </c>
      <c r="BL19" s="2">
        <v>32.200000000000003</v>
      </c>
      <c r="BM19" s="2">
        <v>24.3</v>
      </c>
      <c r="BN19" s="2">
        <v>26.3</v>
      </c>
      <c r="BO19" s="2">
        <v>30.6</v>
      </c>
      <c r="BP19" s="2">
        <v>29.1</v>
      </c>
      <c r="BS19" s="2">
        <v>26.4</v>
      </c>
      <c r="BT19" s="2">
        <v>26.5</v>
      </c>
      <c r="BU19" s="2">
        <v>28.5</v>
      </c>
      <c r="BV19" s="2">
        <v>26.9</v>
      </c>
      <c r="BW19" s="2">
        <v>28.5</v>
      </c>
      <c r="BX19" s="2">
        <v>26.6</v>
      </c>
      <c r="CA19" s="2">
        <v>28</v>
      </c>
      <c r="CB19" s="12">
        <v>28.4</v>
      </c>
    </row>
    <row r="20" spans="1:80" x14ac:dyDescent="0.2">
      <c r="A20" s="11">
        <v>719</v>
      </c>
      <c r="B20" s="7">
        <v>30.7</v>
      </c>
      <c r="D20" s="2">
        <v>29.1</v>
      </c>
      <c r="E20" s="2">
        <v>31.4</v>
      </c>
      <c r="H20" s="2">
        <v>27.7</v>
      </c>
      <c r="I20" s="2">
        <v>32.299999999999997</v>
      </c>
      <c r="J20" s="2">
        <v>31.5</v>
      </c>
      <c r="M20" s="2">
        <v>38.700000000000003</v>
      </c>
      <c r="N20" s="2">
        <v>43.1</v>
      </c>
      <c r="O20" s="2">
        <v>44.6</v>
      </c>
      <c r="P20" s="2">
        <v>29.2</v>
      </c>
      <c r="S20" s="2">
        <v>31.5</v>
      </c>
      <c r="T20" s="2">
        <v>37.200000000000003</v>
      </c>
      <c r="U20" s="2">
        <v>38</v>
      </c>
      <c r="W20" s="2">
        <v>29</v>
      </c>
      <c r="Y20" s="2">
        <v>33</v>
      </c>
      <c r="AA20" s="2">
        <v>33</v>
      </c>
      <c r="AB20" s="2">
        <v>30.6</v>
      </c>
      <c r="AF20" s="2">
        <v>26.2</v>
      </c>
      <c r="AJ20" s="2">
        <v>34</v>
      </c>
      <c r="AK20" s="2">
        <v>27.5</v>
      </c>
      <c r="AL20" s="2">
        <v>33</v>
      </c>
      <c r="AN20" s="2">
        <v>33</v>
      </c>
      <c r="AO20" s="7">
        <v>26.8</v>
      </c>
      <c r="AP20" s="2">
        <v>30</v>
      </c>
      <c r="AR20" s="2">
        <v>26.1</v>
      </c>
      <c r="AS20" s="2">
        <v>27</v>
      </c>
      <c r="AT20" s="2">
        <v>26.8</v>
      </c>
      <c r="AV20" s="2">
        <v>27.1</v>
      </c>
      <c r="AW20" s="2">
        <v>28</v>
      </c>
      <c r="AX20" s="2">
        <v>26.5</v>
      </c>
      <c r="AZ20" s="2">
        <v>26.3</v>
      </c>
      <c r="BA20" s="2">
        <v>25.6</v>
      </c>
      <c r="BB20" s="2">
        <v>25.6</v>
      </c>
      <c r="BC20" s="2">
        <v>26.1</v>
      </c>
      <c r="BD20" s="2">
        <v>24.3</v>
      </c>
      <c r="BE20" s="2">
        <v>30.4</v>
      </c>
      <c r="BF20" s="2">
        <v>27.3</v>
      </c>
      <c r="BG20" s="2">
        <v>26.9</v>
      </c>
      <c r="BH20" s="2">
        <v>22.8</v>
      </c>
      <c r="BI20" s="2">
        <v>22.9</v>
      </c>
      <c r="BJ20" s="2">
        <v>25.4</v>
      </c>
      <c r="BK20" s="2">
        <v>29.4</v>
      </c>
      <c r="BL20" s="2">
        <v>32.4</v>
      </c>
      <c r="BM20" s="2">
        <v>24.3</v>
      </c>
      <c r="BN20" s="2">
        <v>25.5</v>
      </c>
      <c r="BP20" s="2">
        <v>29</v>
      </c>
      <c r="BS20" s="2">
        <v>26.4</v>
      </c>
      <c r="BT20" s="2">
        <v>26.3</v>
      </c>
      <c r="BU20" s="2">
        <v>28.3</v>
      </c>
      <c r="BV20" s="2">
        <v>26.8</v>
      </c>
      <c r="BW20" s="2">
        <v>28.3</v>
      </c>
      <c r="BX20" s="2">
        <v>27</v>
      </c>
      <c r="CA20" s="2">
        <v>28.2</v>
      </c>
      <c r="CB20" s="12">
        <v>28</v>
      </c>
    </row>
    <row r="21" spans="1:80" x14ac:dyDescent="0.2">
      <c r="A21" s="11">
        <v>726</v>
      </c>
      <c r="B21" s="7">
        <v>30.6</v>
      </c>
      <c r="D21" s="2">
        <v>29.5</v>
      </c>
      <c r="E21" s="2">
        <v>31.6</v>
      </c>
      <c r="H21" s="2">
        <v>27.5</v>
      </c>
      <c r="I21" s="2">
        <v>31.4</v>
      </c>
      <c r="J21" s="2">
        <v>31.6</v>
      </c>
      <c r="M21" s="2">
        <v>39</v>
      </c>
      <c r="N21" s="2">
        <v>44.2</v>
      </c>
      <c r="O21" s="2">
        <v>44.8</v>
      </c>
      <c r="P21" s="2">
        <v>28.7</v>
      </c>
      <c r="S21" s="2">
        <v>31</v>
      </c>
      <c r="T21" s="2">
        <v>37.4</v>
      </c>
      <c r="U21" s="2">
        <v>37.6</v>
      </c>
      <c r="W21" s="2">
        <v>28.9</v>
      </c>
      <c r="AA21" s="2">
        <v>33.299999999999997</v>
      </c>
      <c r="AB21" s="2">
        <v>31</v>
      </c>
      <c r="AJ21" s="2">
        <v>34.1</v>
      </c>
      <c r="AK21" s="2">
        <v>27.4</v>
      </c>
      <c r="AL21" s="2">
        <v>32.6</v>
      </c>
      <c r="AN21" s="2">
        <v>32.5</v>
      </c>
      <c r="AO21" s="7">
        <v>27.2</v>
      </c>
      <c r="AP21" s="2">
        <v>29.7</v>
      </c>
      <c r="AR21" s="2">
        <v>25.8</v>
      </c>
      <c r="AS21" s="2">
        <v>26.4</v>
      </c>
      <c r="AT21" s="2">
        <v>27</v>
      </c>
      <c r="AV21" s="2">
        <v>26.9</v>
      </c>
      <c r="AW21" s="2">
        <v>27.7</v>
      </c>
      <c r="AX21" s="2">
        <v>26.3</v>
      </c>
      <c r="AZ21" s="2">
        <v>25.4</v>
      </c>
      <c r="BA21" s="2">
        <v>25.8</v>
      </c>
      <c r="BB21" s="2">
        <v>25.2</v>
      </c>
      <c r="BC21" s="2">
        <v>25.7</v>
      </c>
      <c r="BD21" s="2">
        <v>24</v>
      </c>
      <c r="BE21" s="2">
        <v>30.6</v>
      </c>
      <c r="BF21" s="2">
        <v>27</v>
      </c>
      <c r="BG21" s="2">
        <v>26.8</v>
      </c>
      <c r="BH21" s="2">
        <v>22.6</v>
      </c>
      <c r="BI21" s="2">
        <v>22.5</v>
      </c>
      <c r="BJ21" s="2">
        <v>25.4</v>
      </c>
      <c r="BK21" s="2">
        <v>29.4</v>
      </c>
      <c r="BL21" s="2">
        <v>32</v>
      </c>
      <c r="BM21" s="2">
        <v>24.7</v>
      </c>
      <c r="BN21" s="2">
        <v>25</v>
      </c>
      <c r="BP21" s="2">
        <v>29.3</v>
      </c>
      <c r="BS21" s="2">
        <v>26</v>
      </c>
      <c r="BT21" s="2">
        <v>26.7</v>
      </c>
      <c r="BU21" s="2">
        <v>28.4</v>
      </c>
      <c r="BV21" s="2">
        <v>26</v>
      </c>
      <c r="BW21" s="2">
        <v>28.6</v>
      </c>
      <c r="BX21" s="2">
        <v>27.2</v>
      </c>
      <c r="CA21" s="2">
        <v>28</v>
      </c>
      <c r="CB21" s="12">
        <v>28.5</v>
      </c>
    </row>
    <row r="22" spans="1:80" x14ac:dyDescent="0.2">
      <c r="A22" s="11">
        <v>733</v>
      </c>
      <c r="B22" s="7">
        <v>30.6</v>
      </c>
      <c r="D22" s="2">
        <v>29.6</v>
      </c>
      <c r="E22" s="2">
        <v>31.9</v>
      </c>
      <c r="H22" s="2">
        <v>27</v>
      </c>
      <c r="I22" s="2">
        <v>32</v>
      </c>
      <c r="J22" s="2">
        <v>31.4</v>
      </c>
      <c r="M22" s="2">
        <v>39.1</v>
      </c>
      <c r="N22" s="2">
        <v>45.2</v>
      </c>
      <c r="O22" s="2">
        <v>45.3</v>
      </c>
      <c r="P22" s="2">
        <v>29</v>
      </c>
      <c r="S22" s="2">
        <v>30.6</v>
      </c>
      <c r="T22" s="2">
        <v>38</v>
      </c>
      <c r="W22" s="2">
        <v>29.1</v>
      </c>
      <c r="AA22" s="2">
        <v>33.1</v>
      </c>
      <c r="AB22" s="2">
        <v>31.1</v>
      </c>
      <c r="AJ22" s="2">
        <v>34.299999999999997</v>
      </c>
      <c r="AK22" s="2">
        <v>27.8</v>
      </c>
      <c r="AN22" s="2">
        <v>31.6</v>
      </c>
      <c r="AO22" s="7">
        <v>27.1</v>
      </c>
      <c r="AP22" s="2">
        <v>30.4</v>
      </c>
      <c r="AR22" s="2">
        <v>26</v>
      </c>
      <c r="AS22" s="2">
        <v>25.3</v>
      </c>
      <c r="AT22" s="2">
        <v>27.4</v>
      </c>
      <c r="AV22" s="2">
        <v>27</v>
      </c>
      <c r="AW22" s="2">
        <v>27</v>
      </c>
      <c r="AX22" s="2">
        <v>26.8</v>
      </c>
      <c r="AZ22" s="2">
        <v>25.9</v>
      </c>
      <c r="BA22" s="2">
        <v>26</v>
      </c>
      <c r="BB22" s="2">
        <v>25.3</v>
      </c>
      <c r="BC22" s="2">
        <v>25.9</v>
      </c>
      <c r="BD22" s="2">
        <v>24.1</v>
      </c>
      <c r="BE22" s="2">
        <v>30.5</v>
      </c>
      <c r="BF22" s="2">
        <v>26.9</v>
      </c>
      <c r="BG22" s="2">
        <v>27</v>
      </c>
      <c r="BH22" s="2">
        <v>22.7</v>
      </c>
      <c r="BI22" s="2">
        <v>22</v>
      </c>
      <c r="BJ22" s="2">
        <v>25.7</v>
      </c>
      <c r="BK22" s="2">
        <v>29.7</v>
      </c>
      <c r="BL22" s="2">
        <v>31.9</v>
      </c>
      <c r="BM22" s="2">
        <v>25</v>
      </c>
      <c r="BN22" s="2">
        <v>24.6</v>
      </c>
      <c r="BP22" s="2">
        <v>29.3</v>
      </c>
      <c r="BS22" s="2">
        <v>26.1</v>
      </c>
      <c r="BT22" s="2">
        <v>26.8</v>
      </c>
      <c r="BU22" s="2">
        <v>28.7</v>
      </c>
      <c r="BV22" s="2">
        <v>26.4</v>
      </c>
      <c r="BW22" s="2">
        <v>28.4</v>
      </c>
      <c r="BX22" s="2">
        <v>27.3</v>
      </c>
      <c r="CA22" s="2">
        <v>27.6</v>
      </c>
      <c r="CB22" s="12">
        <v>28.3</v>
      </c>
    </row>
    <row r="23" spans="1:80" x14ac:dyDescent="0.2">
      <c r="A23" s="11">
        <v>740</v>
      </c>
      <c r="B23" s="7">
        <v>30.8</v>
      </c>
      <c r="D23" s="2">
        <v>30.3</v>
      </c>
      <c r="E23" s="2">
        <v>32.200000000000003</v>
      </c>
      <c r="I23" s="2">
        <v>32.299999999999997</v>
      </c>
      <c r="J23" s="2">
        <v>32.6</v>
      </c>
      <c r="M23" s="2">
        <v>39.4</v>
      </c>
      <c r="N23" s="2">
        <v>46</v>
      </c>
      <c r="O23" s="2">
        <v>46.3</v>
      </c>
      <c r="P23" s="2">
        <v>29.4</v>
      </c>
      <c r="S23" s="2">
        <v>30</v>
      </c>
      <c r="T23" s="2">
        <v>38</v>
      </c>
      <c r="W23" s="2">
        <v>28.5</v>
      </c>
      <c r="AA23" s="2">
        <v>33.5</v>
      </c>
      <c r="AB23" s="2">
        <v>30.5</v>
      </c>
      <c r="AJ23" s="2">
        <v>34</v>
      </c>
      <c r="AK23" s="2">
        <v>27.6</v>
      </c>
      <c r="AO23" s="7">
        <v>27.6</v>
      </c>
      <c r="AP23" s="2">
        <v>31</v>
      </c>
      <c r="AR23" s="2">
        <v>26</v>
      </c>
      <c r="AS23" s="2">
        <v>24.3</v>
      </c>
      <c r="AT23" s="2">
        <v>28</v>
      </c>
      <c r="AV23" s="2">
        <v>27.3</v>
      </c>
      <c r="AW23" s="2">
        <v>26.2</v>
      </c>
      <c r="AX23" s="2">
        <v>26.7</v>
      </c>
      <c r="AZ23" s="2">
        <v>25.9</v>
      </c>
      <c r="BA23" s="2">
        <v>26.1</v>
      </c>
      <c r="BB23" s="2">
        <v>25.7</v>
      </c>
      <c r="BC23" s="2">
        <v>26.2</v>
      </c>
      <c r="BD23" s="2">
        <v>23.7</v>
      </c>
      <c r="BE23" s="2">
        <v>31</v>
      </c>
      <c r="BF23" s="2">
        <v>26.6</v>
      </c>
      <c r="BG23" s="2">
        <v>26.6</v>
      </c>
      <c r="BH23" s="2">
        <v>22.2</v>
      </c>
      <c r="BI23" s="2">
        <v>21.5</v>
      </c>
      <c r="BJ23" s="2">
        <v>25.4</v>
      </c>
      <c r="BK23" s="2">
        <v>29.7</v>
      </c>
      <c r="BL23" s="2">
        <v>32.5</v>
      </c>
      <c r="BM23" s="2">
        <v>25.1</v>
      </c>
      <c r="BP23" s="2">
        <v>29</v>
      </c>
      <c r="BS23" s="2">
        <v>26.7</v>
      </c>
      <c r="BT23" s="2">
        <v>26.4</v>
      </c>
      <c r="BU23" s="2">
        <v>28.6</v>
      </c>
      <c r="BV23" s="2">
        <v>26.9</v>
      </c>
      <c r="BW23" s="2">
        <v>28.5</v>
      </c>
      <c r="BX23" s="2">
        <v>26.8</v>
      </c>
      <c r="CA23" s="2">
        <v>27.4</v>
      </c>
      <c r="CB23" s="12">
        <v>28.4</v>
      </c>
    </row>
    <row r="24" spans="1:80" x14ac:dyDescent="0.2">
      <c r="A24" s="11">
        <v>747</v>
      </c>
      <c r="B24" s="7">
        <v>30.2</v>
      </c>
      <c r="I24" s="2">
        <v>32</v>
      </c>
      <c r="J24" s="2">
        <v>32</v>
      </c>
      <c r="M24" s="2">
        <v>39.1</v>
      </c>
      <c r="N24" s="2">
        <v>45.6</v>
      </c>
      <c r="O24" s="2">
        <v>45.6</v>
      </c>
      <c r="P24" s="2">
        <v>29</v>
      </c>
      <c r="S24" s="2">
        <v>29.4</v>
      </c>
      <c r="T24" s="2">
        <v>37.799999999999997</v>
      </c>
      <c r="W24" s="2">
        <v>28.7</v>
      </c>
      <c r="AA24" s="2">
        <v>33.5</v>
      </c>
      <c r="AB24" s="2">
        <v>31</v>
      </c>
      <c r="AJ24" s="2">
        <v>34</v>
      </c>
      <c r="AK24" s="2">
        <v>27.7</v>
      </c>
      <c r="AO24" s="7">
        <v>27.3</v>
      </c>
      <c r="AP24" s="2">
        <v>30.6</v>
      </c>
      <c r="AR24" s="2">
        <v>25.6</v>
      </c>
      <c r="AT24" s="2">
        <v>27.6</v>
      </c>
      <c r="AV24" s="2">
        <v>27.1</v>
      </c>
      <c r="AW24" s="2">
        <v>26</v>
      </c>
      <c r="AX24" s="2">
        <v>26.9</v>
      </c>
      <c r="AZ24" s="2">
        <v>25.7</v>
      </c>
      <c r="BA24" s="2">
        <v>26</v>
      </c>
      <c r="BB24" s="2">
        <v>26</v>
      </c>
      <c r="BC24" s="2">
        <v>26</v>
      </c>
      <c r="BD24" s="2">
        <v>24.5</v>
      </c>
      <c r="BE24" s="2">
        <v>30.2</v>
      </c>
      <c r="BF24" s="2">
        <v>27</v>
      </c>
      <c r="BG24" s="2">
        <v>27</v>
      </c>
      <c r="BH24" s="2">
        <v>22.7</v>
      </c>
      <c r="BI24" s="2">
        <v>22</v>
      </c>
      <c r="BJ24" s="2">
        <v>25.2</v>
      </c>
      <c r="BK24" s="2">
        <v>29.4</v>
      </c>
      <c r="BL24" s="2">
        <v>32.200000000000003</v>
      </c>
      <c r="BM24" s="2">
        <v>25.5</v>
      </c>
      <c r="BP24" s="2">
        <v>28.6</v>
      </c>
      <c r="BS24" s="2">
        <v>26.4</v>
      </c>
      <c r="BT24" s="2">
        <v>26.6</v>
      </c>
      <c r="BU24" s="2">
        <v>28.4</v>
      </c>
      <c r="BV24" s="2">
        <v>26.5</v>
      </c>
      <c r="BW24" s="2">
        <v>28.9</v>
      </c>
      <c r="BX24" s="2">
        <v>27</v>
      </c>
      <c r="CA24" s="2">
        <v>27</v>
      </c>
      <c r="CB24" s="12">
        <v>28.7</v>
      </c>
    </row>
    <row r="25" spans="1:80" x14ac:dyDescent="0.2">
      <c r="A25" s="11">
        <v>754</v>
      </c>
      <c r="B25" s="7">
        <v>29.7</v>
      </c>
      <c r="I25" s="2">
        <v>32.4</v>
      </c>
      <c r="J25" s="2">
        <v>31.8</v>
      </c>
      <c r="M25" s="2">
        <v>38.200000000000003</v>
      </c>
      <c r="N25" s="2">
        <v>45.2</v>
      </c>
      <c r="O25" s="2">
        <v>45.1</v>
      </c>
      <c r="P25" s="2">
        <v>29.2</v>
      </c>
      <c r="S25" s="2">
        <v>28.6</v>
      </c>
      <c r="T25" s="2">
        <v>38</v>
      </c>
      <c r="W25" s="2">
        <v>28.5</v>
      </c>
      <c r="AA25" s="2">
        <v>33.6</v>
      </c>
      <c r="AB25" s="2">
        <v>30.5</v>
      </c>
      <c r="AJ25" s="2">
        <v>34.200000000000003</v>
      </c>
      <c r="AK25" s="2">
        <v>28</v>
      </c>
      <c r="AO25" s="7">
        <v>27.2</v>
      </c>
      <c r="AP25" s="2">
        <v>30.4</v>
      </c>
      <c r="AR25" s="2">
        <v>25.9</v>
      </c>
      <c r="AT25" s="2">
        <v>27.4</v>
      </c>
      <c r="AV25" s="2">
        <v>27</v>
      </c>
      <c r="AW25" s="2">
        <v>26.1</v>
      </c>
      <c r="AX25" s="2">
        <v>27.1</v>
      </c>
      <c r="AZ25" s="2">
        <v>26</v>
      </c>
      <c r="BA25" s="2">
        <v>25.8</v>
      </c>
      <c r="BB25" s="2">
        <v>25.8</v>
      </c>
      <c r="BC25" s="2">
        <v>25.8</v>
      </c>
      <c r="BD25" s="2">
        <v>23.8</v>
      </c>
      <c r="BE25" s="2">
        <v>30.4</v>
      </c>
      <c r="BF25" s="2">
        <v>27.1</v>
      </c>
      <c r="BG25" s="2">
        <v>26.9</v>
      </c>
      <c r="BH25" s="2">
        <v>23</v>
      </c>
      <c r="BI25" s="2">
        <v>22.1</v>
      </c>
      <c r="BJ25" s="2">
        <v>25</v>
      </c>
      <c r="BK25" s="2">
        <v>29.6</v>
      </c>
      <c r="BL25" s="2">
        <v>31.7</v>
      </c>
      <c r="BM25" s="2">
        <v>25.3</v>
      </c>
      <c r="BP25" s="2">
        <v>29.1</v>
      </c>
      <c r="BS25" s="2">
        <v>26.2</v>
      </c>
      <c r="BT25" s="2">
        <v>26.3</v>
      </c>
      <c r="BU25" s="2">
        <v>28.4</v>
      </c>
      <c r="BV25" s="2">
        <v>26.9</v>
      </c>
      <c r="BW25" s="2">
        <v>28.3</v>
      </c>
      <c r="BX25" s="2">
        <v>26.6</v>
      </c>
      <c r="CA25" s="2">
        <v>26.4</v>
      </c>
      <c r="CB25" s="12">
        <v>28.9</v>
      </c>
    </row>
    <row r="26" spans="1:80" x14ac:dyDescent="0.2">
      <c r="A26" s="11">
        <v>761</v>
      </c>
      <c r="B26" s="7">
        <v>30</v>
      </c>
      <c r="I26" s="2">
        <v>32.6</v>
      </c>
      <c r="J26" s="2">
        <v>32</v>
      </c>
      <c r="M26" s="2">
        <v>38.5</v>
      </c>
      <c r="N26" s="2">
        <v>45.1</v>
      </c>
      <c r="O26" s="2">
        <v>44.5</v>
      </c>
      <c r="P26" s="2">
        <v>28.7</v>
      </c>
      <c r="S26" s="2">
        <v>29</v>
      </c>
      <c r="T26" s="2">
        <v>37.6</v>
      </c>
      <c r="W26" s="2">
        <v>28.7</v>
      </c>
      <c r="AA26" s="2">
        <v>32.9</v>
      </c>
      <c r="AB26" s="2">
        <v>30.2</v>
      </c>
      <c r="AJ26" s="2">
        <v>34</v>
      </c>
      <c r="AK26" s="2">
        <v>27.7</v>
      </c>
      <c r="AO26" s="7">
        <v>27.4</v>
      </c>
      <c r="AP26" s="2">
        <v>30.2</v>
      </c>
      <c r="AR26" s="2">
        <v>26.1</v>
      </c>
      <c r="AT26" s="2">
        <v>27.5</v>
      </c>
      <c r="AV26" s="2">
        <v>26.8</v>
      </c>
      <c r="AW26" s="2">
        <v>25.9</v>
      </c>
      <c r="AX26" s="2">
        <v>27.3</v>
      </c>
      <c r="AZ26" s="2">
        <v>25.8</v>
      </c>
      <c r="BA26" s="2">
        <v>25.4</v>
      </c>
      <c r="BB26" s="2">
        <v>25.4</v>
      </c>
      <c r="BC26" s="2">
        <v>25.6</v>
      </c>
      <c r="BD26" s="2">
        <v>24</v>
      </c>
      <c r="BE26" s="2">
        <v>31</v>
      </c>
      <c r="BF26" s="2">
        <v>26.7</v>
      </c>
      <c r="BG26" s="2">
        <v>27.1</v>
      </c>
      <c r="BH26" s="2">
        <v>23.2</v>
      </c>
      <c r="BI26" s="2">
        <v>21.3</v>
      </c>
      <c r="BJ26" s="2">
        <v>25.5</v>
      </c>
      <c r="BK26" s="2">
        <v>29</v>
      </c>
      <c r="BL26" s="2">
        <v>32</v>
      </c>
      <c r="BM26" s="2">
        <v>25.3</v>
      </c>
      <c r="BP26" s="2">
        <v>28.7</v>
      </c>
      <c r="BS26" s="2">
        <v>26.4</v>
      </c>
      <c r="BT26" s="2">
        <v>26.7</v>
      </c>
      <c r="BU26" s="2">
        <v>28</v>
      </c>
      <c r="BV26" s="2">
        <v>26.4</v>
      </c>
      <c r="BW26" s="2">
        <v>28.4</v>
      </c>
      <c r="BX26" s="2">
        <v>27</v>
      </c>
      <c r="CA26" s="2">
        <v>26</v>
      </c>
      <c r="CB26" s="12">
        <v>28.2</v>
      </c>
    </row>
    <row r="27" spans="1:80" x14ac:dyDescent="0.2">
      <c r="A27" s="11">
        <v>768</v>
      </c>
      <c r="B27" s="7">
        <v>30.2</v>
      </c>
      <c r="I27" s="2">
        <v>32.200000000000003</v>
      </c>
      <c r="J27" s="2">
        <v>32.5</v>
      </c>
      <c r="M27" s="2">
        <v>38</v>
      </c>
      <c r="N27" s="2">
        <v>44.8</v>
      </c>
      <c r="O27" s="2">
        <v>44.6</v>
      </c>
      <c r="P27" s="2">
        <v>28.8</v>
      </c>
      <c r="S27" s="2">
        <v>28.7</v>
      </c>
      <c r="T27" s="2">
        <v>37</v>
      </c>
      <c r="W27" s="2">
        <v>29</v>
      </c>
      <c r="AA27" s="2">
        <v>33</v>
      </c>
      <c r="AB27" s="2">
        <v>29.4</v>
      </c>
      <c r="AJ27" s="2">
        <v>34.1</v>
      </c>
      <c r="AK27" s="2">
        <v>28</v>
      </c>
      <c r="AO27" s="7">
        <v>27.6</v>
      </c>
      <c r="AP27" s="2">
        <v>30.7</v>
      </c>
      <c r="AR27" s="2">
        <v>26.3</v>
      </c>
      <c r="AT27" s="2">
        <v>27.9</v>
      </c>
      <c r="AV27" s="2">
        <v>27.2</v>
      </c>
      <c r="AW27" s="2">
        <v>26</v>
      </c>
      <c r="AX27" s="2">
        <v>27</v>
      </c>
      <c r="AZ27" s="2">
        <v>26.1</v>
      </c>
      <c r="BA27" s="2">
        <v>25</v>
      </c>
      <c r="BB27" s="2">
        <v>26</v>
      </c>
      <c r="BC27" s="2">
        <v>26</v>
      </c>
      <c r="BD27" s="2">
        <v>24.3</v>
      </c>
      <c r="BE27" s="2">
        <v>30.6</v>
      </c>
      <c r="BF27" s="2">
        <v>26.9</v>
      </c>
      <c r="BG27" s="2">
        <v>27.4</v>
      </c>
      <c r="BH27" s="2">
        <v>23.5</v>
      </c>
      <c r="BI27" s="2">
        <v>21.8</v>
      </c>
      <c r="BJ27" s="2">
        <v>25.1</v>
      </c>
      <c r="BL27" s="2">
        <v>31.5</v>
      </c>
      <c r="BM27" s="2">
        <v>24.8</v>
      </c>
      <c r="BP27" s="2">
        <v>28.4</v>
      </c>
      <c r="BS27" s="2">
        <v>26.7</v>
      </c>
      <c r="BT27" s="2">
        <v>26.4</v>
      </c>
      <c r="BU27" s="2">
        <v>28.6</v>
      </c>
      <c r="BV27" s="2">
        <v>26.1</v>
      </c>
      <c r="BW27" s="2">
        <v>28.5</v>
      </c>
      <c r="BX27" s="2">
        <v>27.3</v>
      </c>
      <c r="CB27" s="12">
        <v>28</v>
      </c>
    </row>
    <row r="28" spans="1:80" x14ac:dyDescent="0.2">
      <c r="A28" s="11">
        <v>775</v>
      </c>
      <c r="B28" s="7">
        <v>29.4</v>
      </c>
      <c r="I28" s="2">
        <v>32</v>
      </c>
      <c r="J28" s="2">
        <v>32.6</v>
      </c>
      <c r="M28" s="2">
        <v>38.200000000000003</v>
      </c>
      <c r="N28" s="2">
        <v>45</v>
      </c>
      <c r="O28" s="2">
        <v>45</v>
      </c>
      <c r="P28" s="2">
        <v>28.6</v>
      </c>
      <c r="T28" s="2">
        <v>37.5</v>
      </c>
      <c r="W28" s="2">
        <v>28.8</v>
      </c>
      <c r="AA28" s="2">
        <v>33.200000000000003</v>
      </c>
      <c r="AJ28" s="2">
        <v>34</v>
      </c>
      <c r="AK28" s="2">
        <v>27.9</v>
      </c>
      <c r="AO28" s="7">
        <v>27.1</v>
      </c>
      <c r="AP28" s="2">
        <v>31</v>
      </c>
      <c r="AR28" s="2">
        <v>26.6</v>
      </c>
      <c r="AT28" s="2">
        <v>28.1</v>
      </c>
      <c r="AV28" s="2">
        <v>26.6</v>
      </c>
      <c r="AW28" s="2">
        <v>26.3</v>
      </c>
      <c r="AX28" s="2">
        <v>27.1</v>
      </c>
      <c r="AZ28" s="2">
        <v>26.8</v>
      </c>
      <c r="BB28" s="2">
        <v>26.1</v>
      </c>
      <c r="BC28" s="2">
        <v>25.7</v>
      </c>
      <c r="BD28" s="2">
        <v>24.6</v>
      </c>
      <c r="BE28" s="2">
        <v>31.2</v>
      </c>
      <c r="BF28" s="2">
        <v>27</v>
      </c>
      <c r="BG28" s="2">
        <v>27</v>
      </c>
      <c r="BH28" s="2">
        <v>23.3</v>
      </c>
      <c r="BI28" s="2">
        <v>22</v>
      </c>
      <c r="BJ28" s="2">
        <v>25</v>
      </c>
      <c r="BL28" s="2">
        <v>31.6</v>
      </c>
      <c r="BM28" s="2">
        <v>24.7</v>
      </c>
      <c r="BP28" s="2">
        <v>28</v>
      </c>
      <c r="BS28" s="2">
        <v>26.3</v>
      </c>
      <c r="BT28" s="2">
        <v>26.8</v>
      </c>
      <c r="BU28" s="2">
        <v>28.4</v>
      </c>
      <c r="BV28" s="2">
        <v>26.5</v>
      </c>
      <c r="BW28" s="2">
        <v>28.7</v>
      </c>
      <c r="BX28" s="2">
        <v>27</v>
      </c>
      <c r="CB28" s="12">
        <v>27.9</v>
      </c>
    </row>
    <row r="29" spans="1:80" x14ac:dyDescent="0.2">
      <c r="A29" s="11">
        <v>782</v>
      </c>
      <c r="B29" s="7">
        <v>29.8</v>
      </c>
      <c r="I29" s="2">
        <v>32.700000000000003</v>
      </c>
      <c r="J29" s="2">
        <v>32.200000000000003</v>
      </c>
      <c r="M29" s="2">
        <v>38.6</v>
      </c>
      <c r="N29" s="2">
        <v>44.7</v>
      </c>
      <c r="O29" s="2">
        <v>45.2</v>
      </c>
      <c r="P29" s="2">
        <v>28.6</v>
      </c>
      <c r="T29" s="2">
        <v>37.6</v>
      </c>
      <c r="W29" s="2">
        <v>29</v>
      </c>
      <c r="AA29" s="2">
        <v>33.5</v>
      </c>
      <c r="AJ29" s="2">
        <v>34</v>
      </c>
      <c r="AK29" s="2">
        <v>27.6</v>
      </c>
      <c r="AO29" s="7">
        <v>26.7</v>
      </c>
      <c r="AP29" s="2">
        <v>30.8</v>
      </c>
      <c r="AR29" s="2">
        <v>26.3</v>
      </c>
      <c r="AT29" s="2">
        <v>27.8</v>
      </c>
      <c r="AV29" s="2">
        <v>26.4</v>
      </c>
      <c r="AW29" s="2">
        <v>26.4</v>
      </c>
      <c r="AX29" s="2">
        <v>27.5</v>
      </c>
      <c r="AZ29" s="2">
        <v>26.4</v>
      </c>
      <c r="BB29" s="2">
        <v>26</v>
      </c>
      <c r="BC29" s="2">
        <v>25.9</v>
      </c>
      <c r="BD29" s="2">
        <v>24.2</v>
      </c>
      <c r="BE29" s="2">
        <v>30.7</v>
      </c>
      <c r="BF29" s="2">
        <v>26.8</v>
      </c>
      <c r="BG29" s="2">
        <v>26.9</v>
      </c>
      <c r="BH29" s="2">
        <v>23.6</v>
      </c>
      <c r="BI29" s="2">
        <v>21.7</v>
      </c>
      <c r="BJ29" s="2">
        <v>24.7</v>
      </c>
      <c r="BL29" s="2">
        <v>31.2</v>
      </c>
      <c r="BM29" s="2">
        <v>24.5</v>
      </c>
      <c r="BP29" s="2">
        <v>28.2</v>
      </c>
      <c r="BS29" s="2">
        <v>26.1</v>
      </c>
      <c r="BT29" s="2">
        <v>26.8</v>
      </c>
      <c r="BU29" s="2">
        <v>28.1</v>
      </c>
      <c r="BV29" s="2">
        <v>26.2</v>
      </c>
      <c r="BW29" s="2">
        <v>28</v>
      </c>
      <c r="BX29" s="2">
        <v>27.1</v>
      </c>
      <c r="CB29" s="12">
        <v>28.2</v>
      </c>
    </row>
    <row r="30" spans="1:80" x14ac:dyDescent="0.2">
      <c r="A30" s="11">
        <v>789</v>
      </c>
      <c r="B30" s="7">
        <v>28.9</v>
      </c>
      <c r="I30" s="2">
        <v>32.299999999999997</v>
      </c>
      <c r="J30" s="2">
        <v>32</v>
      </c>
      <c r="M30" s="2">
        <v>38.4</v>
      </c>
      <c r="N30" s="2">
        <v>44</v>
      </c>
      <c r="O30" s="2">
        <v>44.3</v>
      </c>
      <c r="P30" s="2">
        <v>28.4</v>
      </c>
      <c r="T30" s="2">
        <v>37.200000000000003</v>
      </c>
      <c r="W30" s="2">
        <v>29.3</v>
      </c>
      <c r="AA30" s="2">
        <v>33</v>
      </c>
      <c r="AJ30" s="2">
        <v>33.5</v>
      </c>
      <c r="AK30" s="2">
        <v>27.7</v>
      </c>
      <c r="AO30" s="7">
        <v>26.7</v>
      </c>
      <c r="AP30" s="2">
        <v>30.6</v>
      </c>
      <c r="AR30" s="2">
        <v>26</v>
      </c>
      <c r="AT30" s="2">
        <v>27.5</v>
      </c>
      <c r="AV30" s="2">
        <v>26.3</v>
      </c>
      <c r="AZ30" s="2">
        <v>26.8</v>
      </c>
      <c r="BB30" s="2">
        <v>25.7</v>
      </c>
      <c r="BC30" s="2">
        <v>25.2</v>
      </c>
      <c r="BD30" s="2">
        <v>24.6</v>
      </c>
      <c r="BE30" s="2">
        <v>30.5</v>
      </c>
      <c r="BF30" s="2">
        <v>26.6</v>
      </c>
      <c r="BG30" s="2">
        <v>27.3</v>
      </c>
      <c r="BH30" s="2">
        <v>23.9</v>
      </c>
      <c r="BI30" s="2">
        <v>21.7</v>
      </c>
      <c r="BJ30" s="2">
        <v>25</v>
      </c>
      <c r="BL30" s="2">
        <v>31</v>
      </c>
      <c r="BM30" s="2">
        <v>24.8</v>
      </c>
      <c r="BP30" s="2">
        <v>28</v>
      </c>
      <c r="BS30" s="2">
        <v>26.3</v>
      </c>
      <c r="BT30" s="2">
        <v>27</v>
      </c>
      <c r="BU30" s="2">
        <v>28</v>
      </c>
      <c r="BV30" s="2">
        <v>26.5</v>
      </c>
      <c r="BW30" s="2">
        <v>28.3</v>
      </c>
      <c r="BX30" s="2">
        <v>27.3</v>
      </c>
      <c r="CB30" s="12">
        <v>28</v>
      </c>
    </row>
    <row r="31" spans="1:80" x14ac:dyDescent="0.2">
      <c r="A31" s="11">
        <v>796</v>
      </c>
      <c r="B31" s="7"/>
      <c r="I31" s="2">
        <v>32</v>
      </c>
      <c r="J31" s="2">
        <v>31.7</v>
      </c>
      <c r="M31" s="2">
        <v>38.9</v>
      </c>
      <c r="N31" s="2">
        <v>44.3</v>
      </c>
      <c r="O31" s="2">
        <v>43.7</v>
      </c>
      <c r="P31" s="2">
        <v>28</v>
      </c>
      <c r="T31" s="2">
        <v>37</v>
      </c>
      <c r="W31" s="2">
        <v>28.7</v>
      </c>
      <c r="AA31" s="2">
        <v>32.700000000000003</v>
      </c>
      <c r="AJ31" s="2">
        <v>34.1</v>
      </c>
      <c r="AK31" s="2">
        <v>27.5</v>
      </c>
      <c r="AO31" s="7">
        <v>26.1</v>
      </c>
      <c r="AP31" s="2">
        <v>31.1</v>
      </c>
      <c r="AR31" s="2">
        <v>26.5</v>
      </c>
      <c r="AT31" s="2">
        <v>27.1</v>
      </c>
      <c r="AV31" s="2">
        <v>26</v>
      </c>
      <c r="AZ31" s="2">
        <v>26</v>
      </c>
      <c r="BB31" s="2">
        <v>25.2</v>
      </c>
      <c r="BC31" s="2">
        <v>25.7</v>
      </c>
      <c r="BD31" s="2">
        <v>24.3</v>
      </c>
      <c r="BE31" s="2">
        <v>31.1</v>
      </c>
      <c r="BF31" s="2">
        <v>27</v>
      </c>
      <c r="BG31" s="2">
        <v>27</v>
      </c>
      <c r="BH31" s="2">
        <v>24</v>
      </c>
      <c r="BI31" s="2">
        <v>22.1</v>
      </c>
      <c r="BJ31" s="2">
        <v>25.1</v>
      </c>
      <c r="BL31" s="2">
        <v>31.5</v>
      </c>
      <c r="BM31" s="2">
        <v>25</v>
      </c>
      <c r="BP31" s="2">
        <v>27.9</v>
      </c>
      <c r="BS31" s="2">
        <v>25.8</v>
      </c>
      <c r="BT31" s="2">
        <v>26.5</v>
      </c>
      <c r="BU31" s="2">
        <v>27.6</v>
      </c>
      <c r="BV31" s="2">
        <v>26.2</v>
      </c>
      <c r="BW31" s="2">
        <v>27.6</v>
      </c>
      <c r="BX31" s="2">
        <v>27.5</v>
      </c>
      <c r="CB31" s="12">
        <v>27.6</v>
      </c>
    </row>
    <row r="32" spans="1:80" x14ac:dyDescent="0.2">
      <c r="A32" s="11">
        <v>803</v>
      </c>
      <c r="B32" s="7"/>
      <c r="I32" s="2">
        <v>32.4</v>
      </c>
      <c r="J32" s="2">
        <v>31.5</v>
      </c>
      <c r="M32" s="2">
        <v>37.799999999999997</v>
      </c>
      <c r="N32" s="2">
        <v>43.7</v>
      </c>
      <c r="O32" s="2">
        <v>43.2</v>
      </c>
      <c r="P32" s="2">
        <v>28.1</v>
      </c>
      <c r="T32" s="2">
        <v>36.5</v>
      </c>
      <c r="W32" s="2">
        <v>28.1</v>
      </c>
      <c r="AA32" s="2">
        <v>32.5</v>
      </c>
      <c r="AJ32" s="2">
        <v>33.700000000000003</v>
      </c>
      <c r="AK32" s="2">
        <v>28</v>
      </c>
      <c r="AO32" s="7">
        <v>26.2</v>
      </c>
      <c r="AP32" s="2">
        <v>30.4</v>
      </c>
      <c r="AR32" s="2">
        <v>26.1</v>
      </c>
      <c r="AT32" s="2">
        <v>27.4</v>
      </c>
      <c r="AV32" s="2">
        <v>26.5</v>
      </c>
      <c r="AZ32" s="2">
        <v>26.3</v>
      </c>
      <c r="BC32" s="2">
        <v>26</v>
      </c>
      <c r="BD32" s="2">
        <v>24</v>
      </c>
      <c r="BE32" s="2">
        <v>31</v>
      </c>
      <c r="BF32" s="2">
        <v>26.7</v>
      </c>
      <c r="BG32" s="2">
        <v>26.5</v>
      </c>
      <c r="BH32" s="2">
        <v>24.3</v>
      </c>
      <c r="BI32" s="2">
        <v>22.4</v>
      </c>
      <c r="BJ32" s="2">
        <v>24.8</v>
      </c>
      <c r="BL32" s="2">
        <v>31.9</v>
      </c>
      <c r="BM32" s="2">
        <v>24.6</v>
      </c>
      <c r="BP32" s="2">
        <v>28.2</v>
      </c>
      <c r="BS32" s="2">
        <v>26</v>
      </c>
      <c r="BT32" s="2">
        <v>26.7</v>
      </c>
      <c r="BU32" s="2">
        <v>27.9</v>
      </c>
      <c r="BV32" s="2">
        <v>26</v>
      </c>
      <c r="BW32" s="2">
        <v>27.9</v>
      </c>
      <c r="BX32" s="2">
        <v>27.1</v>
      </c>
      <c r="CB32" s="12">
        <v>27.9</v>
      </c>
    </row>
    <row r="33" spans="1:80" x14ac:dyDescent="0.2">
      <c r="A33" s="13">
        <v>810</v>
      </c>
      <c r="B33" s="14"/>
      <c r="C33" s="15"/>
      <c r="D33" s="15"/>
      <c r="E33" s="15"/>
      <c r="F33" s="15"/>
      <c r="G33" s="15"/>
      <c r="H33" s="15"/>
      <c r="I33" s="15">
        <v>32</v>
      </c>
      <c r="J33" s="15">
        <v>31.5</v>
      </c>
      <c r="K33" s="15"/>
      <c r="L33" s="15"/>
      <c r="M33" s="15">
        <v>37.5</v>
      </c>
      <c r="N33" s="15">
        <v>42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>
        <v>32.1</v>
      </c>
      <c r="AB33" s="15"/>
      <c r="AC33" s="15"/>
      <c r="AD33" s="15"/>
      <c r="AE33" s="15"/>
      <c r="AF33" s="15"/>
      <c r="AG33" s="15"/>
      <c r="AH33" s="15"/>
      <c r="AI33" s="15"/>
      <c r="AJ33" s="15">
        <v>32.700000000000003</v>
      </c>
      <c r="AK33" s="15">
        <v>27.6</v>
      </c>
      <c r="AL33" s="15"/>
      <c r="AM33" s="15"/>
      <c r="AN33" s="15"/>
      <c r="AO33" s="14">
        <v>26</v>
      </c>
      <c r="AP33" s="15">
        <v>29.7</v>
      </c>
      <c r="AQ33" s="15"/>
      <c r="AR33" s="15">
        <v>26</v>
      </c>
      <c r="AS33" s="15"/>
      <c r="AT33" s="15">
        <v>27</v>
      </c>
      <c r="AU33" s="15"/>
      <c r="AV33" s="15">
        <v>27.1</v>
      </c>
      <c r="AW33" s="15"/>
      <c r="AX33" s="15"/>
      <c r="AY33" s="15"/>
      <c r="AZ33" s="15">
        <v>26.1</v>
      </c>
      <c r="BA33" s="15"/>
      <c r="BB33" s="15"/>
      <c r="BC33" s="15">
        <v>25.9</v>
      </c>
      <c r="BD33" s="15">
        <v>23.7</v>
      </c>
      <c r="BE33" s="15">
        <v>30.5</v>
      </c>
      <c r="BF33" s="15">
        <v>27.1</v>
      </c>
      <c r="BG33" s="15"/>
      <c r="BH33" s="15">
        <v>24</v>
      </c>
      <c r="BI33" s="15">
        <v>22.8</v>
      </c>
      <c r="BJ33" s="15">
        <v>24.3</v>
      </c>
      <c r="BK33" s="15"/>
      <c r="BL33" s="15">
        <v>31.4</v>
      </c>
      <c r="BM33" s="15">
        <v>24.2</v>
      </c>
      <c r="BN33" s="15"/>
      <c r="BO33" s="15"/>
      <c r="BP33" s="15"/>
      <c r="BQ33" s="15"/>
      <c r="BR33" s="15"/>
      <c r="BS33" s="15">
        <v>26.1</v>
      </c>
      <c r="BT33" s="15">
        <v>27</v>
      </c>
      <c r="BU33" s="15">
        <v>28.2</v>
      </c>
      <c r="BV33" s="15">
        <v>26.8</v>
      </c>
      <c r="BW33" s="15">
        <v>27.3</v>
      </c>
      <c r="BX33" s="15">
        <v>27</v>
      </c>
      <c r="BY33" s="15"/>
      <c r="BZ33" s="15"/>
      <c r="CA33" s="15"/>
      <c r="CB33" s="16">
        <v>28.1</v>
      </c>
    </row>
    <row r="35" spans="1:80" x14ac:dyDescent="0.15">
      <c r="A35" s="57" t="s">
        <v>28</v>
      </c>
      <c r="B35" s="54" t="s">
        <v>12</v>
      </c>
      <c r="C35" s="56"/>
      <c r="D35" s="54" t="s">
        <v>23</v>
      </c>
      <c r="E35" s="56"/>
      <c r="G35" s="17" t="s">
        <v>102</v>
      </c>
    </row>
    <row r="36" spans="1:80" ht="16" x14ac:dyDescent="0.2">
      <c r="A36" s="58"/>
      <c r="B36" s="4" t="s">
        <v>0</v>
      </c>
      <c r="C36" s="4" t="s">
        <v>1</v>
      </c>
      <c r="D36" s="4" t="s">
        <v>0</v>
      </c>
      <c r="E36" s="3" t="s">
        <v>1</v>
      </c>
      <c r="G36" s="8" t="s">
        <v>67</v>
      </c>
      <c r="H36" s="18" t="s">
        <v>44</v>
      </c>
    </row>
    <row r="37" spans="1:80" x14ac:dyDescent="0.2">
      <c r="A37" s="8">
        <v>600</v>
      </c>
      <c r="B37" s="19">
        <f>AVERAGE(B3:AN3)</f>
        <v>31.202564102564104</v>
      </c>
      <c r="C37" s="20">
        <f>STDEV(B3:AN3)/SQRT(COUNT(B3:AN3))</f>
        <v>0.67965903156167362</v>
      </c>
      <c r="D37" s="19">
        <f>AVERAGE(AO3:CB3)</f>
        <v>32.412500000000009</v>
      </c>
      <c r="E37" s="21">
        <f>STDEV(AO3:CB3)/SQRT(COUNT(AO3:CB3))</f>
        <v>0.56933595485193977</v>
      </c>
      <c r="G37" s="7">
        <v>0.14699999999999999</v>
      </c>
      <c r="H37" s="22">
        <f>D37-B37</f>
        <v>1.2099358974359049</v>
      </c>
    </row>
    <row r="38" spans="1:80" ht="15" x14ac:dyDescent="0.2">
      <c r="A38" s="7">
        <v>607</v>
      </c>
      <c r="B38" s="23">
        <f>AVERAGE(B4:AN4)</f>
        <v>31.318421052631571</v>
      </c>
      <c r="C38" s="24">
        <f t="shared" ref="C38:C66" si="0">STDEV(B4:AN4)/SQRT(COUNT(B4:AN4))</f>
        <v>0.68296541156031676</v>
      </c>
      <c r="D38" s="23">
        <f>AVERAGE(AO4:CB4)</f>
        <v>27.017499999999991</v>
      </c>
      <c r="E38" s="25">
        <f t="shared" ref="E38:E67" si="1">STDEV(AO4:CB4)/SQRT(COUNT(AO4:CB4))</f>
        <v>0.51022729349345231</v>
      </c>
      <c r="G38" s="7" t="s">
        <v>87</v>
      </c>
      <c r="H38" s="22">
        <f t="shared" ref="H38:H66" si="2">D38-B38</f>
        <v>-4.3009210526315798</v>
      </c>
    </row>
    <row r="39" spans="1:80" ht="15" x14ac:dyDescent="0.2">
      <c r="A39" s="7">
        <v>614</v>
      </c>
      <c r="B39" s="23">
        <f t="shared" ref="B39:B66" si="3">AVERAGE(B5:AN5)</f>
        <v>31.255263157894746</v>
      </c>
      <c r="C39" s="24">
        <f t="shared" si="0"/>
        <v>0.68855402707371427</v>
      </c>
      <c r="D39" s="23">
        <f t="shared" ref="D39:D67" si="4">AVERAGE(AO5:CB5)</f>
        <v>26.469999999999992</v>
      </c>
      <c r="E39" s="25">
        <f t="shared" si="1"/>
        <v>0.45483443028685677</v>
      </c>
      <c r="G39" s="7" t="s">
        <v>88</v>
      </c>
      <c r="H39" s="22">
        <f t="shared" si="2"/>
        <v>-4.7852631578947538</v>
      </c>
    </row>
    <row r="40" spans="1:80" ht="15" x14ac:dyDescent="0.2">
      <c r="A40" s="7">
        <v>621</v>
      </c>
      <c r="B40" s="23">
        <f t="shared" si="3"/>
        <v>31.460526315789473</v>
      </c>
      <c r="C40" s="24">
        <f t="shared" si="0"/>
        <v>0.71981248025999744</v>
      </c>
      <c r="D40" s="23">
        <f t="shared" si="4"/>
        <v>26.692500000000003</v>
      </c>
      <c r="E40" s="25">
        <f t="shared" si="1"/>
        <v>0.36690646296311347</v>
      </c>
      <c r="G40" s="7" t="s">
        <v>88</v>
      </c>
      <c r="H40" s="22">
        <f>D40-B40</f>
        <v>-4.76802631578947</v>
      </c>
    </row>
    <row r="41" spans="1:80" ht="15" x14ac:dyDescent="0.2">
      <c r="A41" s="7">
        <v>628</v>
      </c>
      <c r="B41" s="23">
        <f t="shared" si="3"/>
        <v>31.457894736842107</v>
      </c>
      <c r="C41" s="24">
        <f t="shared" si="0"/>
        <v>0.69510206357782178</v>
      </c>
      <c r="D41" s="23">
        <f t="shared" si="4"/>
        <v>26.875</v>
      </c>
      <c r="E41" s="25">
        <f t="shared" si="1"/>
        <v>0.39114804725550517</v>
      </c>
      <c r="G41" s="7" t="s">
        <v>89</v>
      </c>
      <c r="H41" s="22">
        <f t="shared" si="2"/>
        <v>-4.5828947368421069</v>
      </c>
    </row>
    <row r="42" spans="1:80" ht="15" x14ac:dyDescent="0.2">
      <c r="A42" s="7">
        <v>635</v>
      </c>
      <c r="B42" s="23">
        <f t="shared" si="3"/>
        <v>31.721621621621622</v>
      </c>
      <c r="C42" s="24">
        <f t="shared" si="0"/>
        <v>0.67903100822949281</v>
      </c>
      <c r="D42" s="23">
        <f t="shared" si="4"/>
        <v>26.964999999999993</v>
      </c>
      <c r="E42" s="25">
        <f t="shared" si="1"/>
        <v>0.40589486449774281</v>
      </c>
      <c r="G42" s="7" t="s">
        <v>89</v>
      </c>
      <c r="H42" s="22">
        <f t="shared" si="2"/>
        <v>-4.7566216216216297</v>
      </c>
    </row>
    <row r="43" spans="1:80" ht="15" x14ac:dyDescent="0.2">
      <c r="A43" s="7">
        <v>642</v>
      </c>
      <c r="B43" s="23">
        <f t="shared" si="3"/>
        <v>31.80833333333333</v>
      </c>
      <c r="C43" s="24">
        <f t="shared" si="0"/>
        <v>0.69372899653605657</v>
      </c>
      <c r="D43" s="23">
        <f t="shared" si="4"/>
        <v>27.085000000000008</v>
      </c>
      <c r="E43" s="25">
        <f t="shared" si="1"/>
        <v>0.38639607021413019</v>
      </c>
      <c r="G43" s="7" t="s">
        <v>87</v>
      </c>
      <c r="H43" s="22">
        <f t="shared" si="2"/>
        <v>-4.7233333333333221</v>
      </c>
    </row>
    <row r="44" spans="1:80" ht="15" x14ac:dyDescent="0.2">
      <c r="A44" s="7">
        <v>649</v>
      </c>
      <c r="B44" s="23">
        <f t="shared" si="3"/>
        <v>32.248571428571431</v>
      </c>
      <c r="C44" s="24">
        <f t="shared" si="0"/>
        <v>0.75268004550430145</v>
      </c>
      <c r="D44" s="23">
        <f t="shared" si="4"/>
        <v>26.920512820512815</v>
      </c>
      <c r="E44" s="25">
        <f t="shared" si="1"/>
        <v>0.35898303440451962</v>
      </c>
      <c r="G44" s="7" t="s">
        <v>90</v>
      </c>
      <c r="H44" s="22">
        <f t="shared" si="2"/>
        <v>-5.3280586080586154</v>
      </c>
    </row>
    <row r="45" spans="1:80" ht="15" x14ac:dyDescent="0.2">
      <c r="A45" s="7">
        <v>656</v>
      </c>
      <c r="B45" s="23">
        <f t="shared" si="3"/>
        <v>32.423529411764704</v>
      </c>
      <c r="C45" s="24">
        <f t="shared" si="0"/>
        <v>0.77401030848347274</v>
      </c>
      <c r="D45" s="23">
        <f t="shared" si="4"/>
        <v>27.010256410256407</v>
      </c>
      <c r="E45" s="25">
        <f t="shared" si="1"/>
        <v>0.34846482040997845</v>
      </c>
      <c r="G45" s="7" t="s">
        <v>90</v>
      </c>
      <c r="H45" s="22">
        <f t="shared" si="2"/>
        <v>-5.4132730015082977</v>
      </c>
    </row>
    <row r="46" spans="1:80" ht="15" x14ac:dyDescent="0.2">
      <c r="A46" s="7">
        <v>663</v>
      </c>
      <c r="B46" s="23">
        <f t="shared" si="3"/>
        <v>32.414705882352948</v>
      </c>
      <c r="C46" s="24">
        <f t="shared" si="0"/>
        <v>0.79545424586940949</v>
      </c>
      <c r="D46" s="23">
        <f t="shared" si="4"/>
        <v>27.069230769230771</v>
      </c>
      <c r="E46" s="25">
        <f t="shared" si="1"/>
        <v>0.32608489837271754</v>
      </c>
      <c r="G46" s="7" t="s">
        <v>91</v>
      </c>
      <c r="H46" s="22">
        <f t="shared" si="2"/>
        <v>-5.3454751131221769</v>
      </c>
    </row>
    <row r="47" spans="1:80" ht="15" x14ac:dyDescent="0.2">
      <c r="A47" s="7">
        <v>670</v>
      </c>
      <c r="B47" s="23">
        <f t="shared" si="3"/>
        <v>32.22941176470588</v>
      </c>
      <c r="C47" s="24">
        <f t="shared" si="0"/>
        <v>0.78269529989231523</v>
      </c>
      <c r="D47" s="23">
        <f t="shared" si="4"/>
        <v>26.870270270270261</v>
      </c>
      <c r="E47" s="25">
        <f t="shared" si="1"/>
        <v>0.30226534255564802</v>
      </c>
      <c r="G47" s="7" t="s">
        <v>88</v>
      </c>
      <c r="H47" s="22">
        <f t="shared" si="2"/>
        <v>-5.3591414944356188</v>
      </c>
    </row>
    <row r="48" spans="1:80" ht="15" x14ac:dyDescent="0.2">
      <c r="A48" s="7">
        <v>677</v>
      </c>
      <c r="B48" s="23">
        <f t="shared" si="3"/>
        <v>31.942424242424238</v>
      </c>
      <c r="C48" s="24">
        <f t="shared" si="0"/>
        <v>0.79144371226172128</v>
      </c>
      <c r="D48" s="23">
        <f t="shared" si="4"/>
        <v>26.854054054054057</v>
      </c>
      <c r="E48" s="25">
        <f t="shared" si="1"/>
        <v>0.30148766762945978</v>
      </c>
      <c r="G48" s="7" t="s">
        <v>92</v>
      </c>
      <c r="H48" s="22">
        <f t="shared" si="2"/>
        <v>-5.0883701883701811</v>
      </c>
    </row>
    <row r="49" spans="1:8" ht="15" x14ac:dyDescent="0.2">
      <c r="A49" s="7">
        <v>684</v>
      </c>
      <c r="B49" s="23">
        <f t="shared" si="3"/>
        <v>31.646875000000009</v>
      </c>
      <c r="C49" s="24">
        <f t="shared" si="0"/>
        <v>0.83633446069208128</v>
      </c>
      <c r="D49" s="23">
        <f t="shared" si="4"/>
        <v>26.830555555555549</v>
      </c>
      <c r="E49" s="25">
        <f t="shared" si="1"/>
        <v>0.32610786618541893</v>
      </c>
      <c r="G49" s="7" t="s">
        <v>87</v>
      </c>
      <c r="H49" s="22">
        <f t="shared" si="2"/>
        <v>-4.8163194444444599</v>
      </c>
    </row>
    <row r="50" spans="1:8" ht="15" x14ac:dyDescent="0.2">
      <c r="A50" s="7">
        <v>691</v>
      </c>
      <c r="B50" s="23">
        <f t="shared" si="3"/>
        <v>31.936666666666671</v>
      </c>
      <c r="C50" s="24">
        <f t="shared" si="0"/>
        <v>0.8759951101177309</v>
      </c>
      <c r="D50" s="23">
        <f t="shared" si="4"/>
        <v>26.874285714285712</v>
      </c>
      <c r="E50" s="25">
        <f t="shared" si="1"/>
        <v>0.32353984486069864</v>
      </c>
      <c r="G50" s="7" t="s">
        <v>87</v>
      </c>
      <c r="H50" s="22">
        <f t="shared" si="2"/>
        <v>-5.0623809523809591</v>
      </c>
    </row>
    <row r="51" spans="1:8" ht="15" x14ac:dyDescent="0.2">
      <c r="A51" s="7">
        <v>698</v>
      </c>
      <c r="B51" s="23">
        <f t="shared" si="3"/>
        <v>32.466666666666669</v>
      </c>
      <c r="C51" s="24">
        <f t="shared" si="0"/>
        <v>0.87486262657894709</v>
      </c>
      <c r="D51" s="23">
        <f t="shared" si="4"/>
        <v>26.919999999999991</v>
      </c>
      <c r="E51" s="25">
        <f t="shared" si="1"/>
        <v>0.34250191681976033</v>
      </c>
      <c r="G51" s="7" t="s">
        <v>87</v>
      </c>
      <c r="H51" s="22">
        <f t="shared" si="2"/>
        <v>-5.5466666666666775</v>
      </c>
    </row>
    <row r="52" spans="1:8" ht="15" x14ac:dyDescent="0.2">
      <c r="A52" s="7">
        <v>705</v>
      </c>
      <c r="B52" s="23">
        <f t="shared" si="3"/>
        <v>32.636000000000003</v>
      </c>
      <c r="C52" s="24">
        <f t="shared" si="0"/>
        <v>0.92692826043874221</v>
      </c>
      <c r="D52" s="23">
        <f t="shared" si="4"/>
        <v>26.941176470588236</v>
      </c>
      <c r="E52" s="25">
        <f t="shared" si="1"/>
        <v>0.34979285051583497</v>
      </c>
      <c r="G52" s="7" t="s">
        <v>93</v>
      </c>
      <c r="H52" s="22">
        <f t="shared" si="2"/>
        <v>-5.6948235294117673</v>
      </c>
    </row>
    <row r="53" spans="1:8" ht="15" x14ac:dyDescent="0.2">
      <c r="A53" s="7">
        <v>712</v>
      </c>
      <c r="B53" s="23">
        <f t="shared" si="3"/>
        <v>32.4375</v>
      </c>
      <c r="C53" s="24">
        <f t="shared" si="0"/>
        <v>0.96438033908090748</v>
      </c>
      <c r="D53" s="23">
        <f t="shared" si="4"/>
        <v>27.042424242424243</v>
      </c>
      <c r="E53" s="25">
        <f t="shared" si="1"/>
        <v>0.35947748019801368</v>
      </c>
      <c r="G53" s="7" t="s">
        <v>87</v>
      </c>
      <c r="H53" s="22">
        <f t="shared" si="2"/>
        <v>-5.3950757575757571</v>
      </c>
    </row>
    <row r="54" spans="1:8" ht="15" x14ac:dyDescent="0.2">
      <c r="A54" s="7">
        <v>719</v>
      </c>
      <c r="B54" s="23">
        <f t="shared" si="3"/>
        <v>32.922727272727279</v>
      </c>
      <c r="C54" s="24">
        <f t="shared" si="0"/>
        <v>1.0207783257874672</v>
      </c>
      <c r="D54" s="23">
        <f t="shared" si="4"/>
        <v>26.931249999999995</v>
      </c>
      <c r="E54" s="25">
        <f t="shared" si="1"/>
        <v>0.35829562661074588</v>
      </c>
      <c r="G54" s="7" t="s">
        <v>89</v>
      </c>
      <c r="H54" s="22">
        <f t="shared" si="2"/>
        <v>-5.991477272727284</v>
      </c>
    </row>
    <row r="55" spans="1:8" ht="15" x14ac:dyDescent="0.2">
      <c r="A55" s="7">
        <v>726</v>
      </c>
      <c r="B55" s="23">
        <f t="shared" si="3"/>
        <v>33.234999999999999</v>
      </c>
      <c r="C55" s="24">
        <f t="shared" si="0"/>
        <v>1.1135593714231047</v>
      </c>
      <c r="D55" s="23">
        <f t="shared" si="4"/>
        <v>26.806250000000002</v>
      </c>
      <c r="E55" s="25">
        <f t="shared" si="1"/>
        <v>0.37197536935021092</v>
      </c>
      <c r="G55" s="7" t="s">
        <v>91</v>
      </c>
      <c r="H55" s="22">
        <f t="shared" si="2"/>
        <v>-6.4287499999999973</v>
      </c>
    </row>
    <row r="56" spans="1:8" ht="15" x14ac:dyDescent="0.2">
      <c r="A56" s="7">
        <v>733</v>
      </c>
      <c r="B56" s="23">
        <f t="shared" si="3"/>
        <v>33.150000000000006</v>
      </c>
      <c r="C56" s="24">
        <f t="shared" si="0"/>
        <v>1.2671116349496749</v>
      </c>
      <c r="D56" s="23">
        <f t="shared" si="4"/>
        <v>26.846874999999994</v>
      </c>
      <c r="E56" s="25">
        <f t="shared" si="1"/>
        <v>0.37783830106810529</v>
      </c>
      <c r="G56" s="7" t="s">
        <v>94</v>
      </c>
      <c r="H56" s="22">
        <f t="shared" si="2"/>
        <v>-6.3031250000000121</v>
      </c>
    </row>
    <row r="57" spans="1:8" ht="15" x14ac:dyDescent="0.2">
      <c r="A57" s="7">
        <v>740</v>
      </c>
      <c r="B57" s="23">
        <f t="shared" si="3"/>
        <v>33.837499999999999</v>
      </c>
      <c r="C57" s="24">
        <f t="shared" si="0"/>
        <v>1.4331165049174004</v>
      </c>
      <c r="D57" s="23">
        <f t="shared" si="4"/>
        <v>26.903225806451609</v>
      </c>
      <c r="E57" s="25">
        <f t="shared" si="1"/>
        <v>0.42270210845692502</v>
      </c>
      <c r="G57" s="7" t="s">
        <v>95</v>
      </c>
      <c r="H57" s="22">
        <f t="shared" si="2"/>
        <v>-6.93427419354839</v>
      </c>
    </row>
    <row r="58" spans="1:8" ht="15" x14ac:dyDescent="0.2">
      <c r="A58" s="7">
        <v>747</v>
      </c>
      <c r="B58" s="23">
        <f t="shared" si="3"/>
        <v>33.971428571428568</v>
      </c>
      <c r="C58" s="24">
        <f t="shared" si="0"/>
        <v>1.5814664418666713</v>
      </c>
      <c r="D58" s="23">
        <f t="shared" si="4"/>
        <v>26.95333333333333</v>
      </c>
      <c r="E58" s="25">
        <f t="shared" si="1"/>
        <v>0.38815014671962639</v>
      </c>
      <c r="G58" s="7" t="s">
        <v>96</v>
      </c>
      <c r="H58" s="22">
        <f t="shared" si="2"/>
        <v>-7.0180952380952384</v>
      </c>
    </row>
    <row r="59" spans="1:8" ht="15" x14ac:dyDescent="0.2">
      <c r="A59" s="7">
        <v>754</v>
      </c>
      <c r="B59" s="23">
        <f t="shared" si="3"/>
        <v>33.785714285714285</v>
      </c>
      <c r="C59" s="24">
        <f t="shared" si="0"/>
        <v>1.5520938407273746</v>
      </c>
      <c r="D59" s="23">
        <f t="shared" si="4"/>
        <v>26.883333333333329</v>
      </c>
      <c r="E59" s="25">
        <f t="shared" si="1"/>
        <v>0.38596299427560604</v>
      </c>
      <c r="G59" s="7" t="s">
        <v>97</v>
      </c>
      <c r="H59" s="22">
        <f t="shared" si="2"/>
        <v>-6.9023809523809554</v>
      </c>
    </row>
    <row r="60" spans="1:8" ht="15" x14ac:dyDescent="0.2">
      <c r="A60" s="7">
        <v>761</v>
      </c>
      <c r="B60" s="23">
        <f t="shared" si="3"/>
        <v>33.678571428571423</v>
      </c>
      <c r="C60" s="24">
        <f t="shared" si="0"/>
        <v>1.525792122556648</v>
      </c>
      <c r="D60" s="23">
        <f t="shared" si="4"/>
        <v>26.810000000000002</v>
      </c>
      <c r="E60" s="25">
        <f t="shared" si="1"/>
        <v>0.39465829829587157</v>
      </c>
      <c r="G60" s="7" t="s">
        <v>98</v>
      </c>
      <c r="H60" s="22">
        <f t="shared" si="2"/>
        <v>-6.8685714285714212</v>
      </c>
    </row>
    <row r="61" spans="1:8" ht="15" x14ac:dyDescent="0.2">
      <c r="A61" s="7">
        <v>768</v>
      </c>
      <c r="B61" s="23">
        <f t="shared" si="3"/>
        <v>33.592857142857142</v>
      </c>
      <c r="C61" s="24">
        <f t="shared" si="0"/>
        <v>1.5007494203250511</v>
      </c>
      <c r="D61" s="23">
        <f t="shared" si="4"/>
        <v>26.846428571428568</v>
      </c>
      <c r="E61" s="25">
        <f t="shared" si="1"/>
        <v>0.3985251295860332</v>
      </c>
      <c r="G61" s="7" t="s">
        <v>90</v>
      </c>
      <c r="H61" s="22">
        <f t="shared" si="2"/>
        <v>-6.7464285714285737</v>
      </c>
    </row>
    <row r="62" spans="1:8" ht="15" x14ac:dyDescent="0.2">
      <c r="A62" s="7">
        <v>775</v>
      </c>
      <c r="B62" s="23">
        <f t="shared" si="3"/>
        <v>34.349999999999994</v>
      </c>
      <c r="C62" s="24">
        <f t="shared" si="0"/>
        <v>1.7223794323815389</v>
      </c>
      <c r="D62" s="23">
        <f t="shared" si="4"/>
        <v>26.94074074074074</v>
      </c>
      <c r="E62" s="25">
        <f t="shared" si="1"/>
        <v>0.41424971683650447</v>
      </c>
      <c r="G62" s="7" t="s">
        <v>99</v>
      </c>
      <c r="H62" s="22">
        <f t="shared" si="2"/>
        <v>-7.4092592592592545</v>
      </c>
    </row>
    <row r="63" spans="1:8" ht="15" x14ac:dyDescent="0.2">
      <c r="A63" s="7">
        <v>782</v>
      </c>
      <c r="B63" s="23">
        <f t="shared" si="3"/>
        <v>34.458333333333336</v>
      </c>
      <c r="C63" s="24">
        <f t="shared" si="0"/>
        <v>1.7177089363157536</v>
      </c>
      <c r="D63" s="23">
        <f t="shared" si="4"/>
        <v>26.785185185185188</v>
      </c>
      <c r="E63" s="25">
        <f t="shared" si="1"/>
        <v>0.40466312195548632</v>
      </c>
      <c r="G63" s="7" t="s">
        <v>100</v>
      </c>
      <c r="H63" s="22">
        <f t="shared" si="2"/>
        <v>-7.6731481481481474</v>
      </c>
    </row>
    <row r="64" spans="1:8" ht="15" x14ac:dyDescent="0.2">
      <c r="A64" s="7">
        <v>789</v>
      </c>
      <c r="B64" s="23">
        <f t="shared" si="3"/>
        <v>34.083333333333336</v>
      </c>
      <c r="C64" s="24">
        <f t="shared" si="0"/>
        <v>1.6580763467697028</v>
      </c>
      <c r="D64" s="23">
        <f t="shared" si="4"/>
        <v>26.783999999999995</v>
      </c>
      <c r="E64" s="25">
        <f t="shared" si="1"/>
        <v>0.41815786492663271</v>
      </c>
      <c r="G64" s="7" t="s">
        <v>91</v>
      </c>
      <c r="H64" s="22">
        <f t="shared" si="2"/>
        <v>-7.2993333333333403</v>
      </c>
    </row>
    <row r="65" spans="1:8" ht="15" x14ac:dyDescent="0.2">
      <c r="A65" s="7">
        <v>796</v>
      </c>
      <c r="B65" s="23">
        <f t="shared" si="3"/>
        <v>34.418181818181814</v>
      </c>
      <c r="C65" s="24">
        <f t="shared" si="0"/>
        <v>1.7801847800831512</v>
      </c>
      <c r="D65" s="23">
        <f t="shared" si="4"/>
        <v>26.700000000000003</v>
      </c>
      <c r="E65" s="25">
        <f t="shared" si="1"/>
        <v>0.4320493798938575</v>
      </c>
      <c r="G65" s="7" t="s">
        <v>90</v>
      </c>
      <c r="H65" s="22">
        <f t="shared" si="2"/>
        <v>-7.7181818181818116</v>
      </c>
    </row>
    <row r="66" spans="1:8" ht="15" x14ac:dyDescent="0.2">
      <c r="A66" s="7">
        <v>803</v>
      </c>
      <c r="B66" s="23">
        <f t="shared" si="3"/>
        <v>34.136363636363633</v>
      </c>
      <c r="C66" s="24">
        <f t="shared" si="0"/>
        <v>1.6948731637861174</v>
      </c>
      <c r="D66" s="23">
        <f t="shared" si="4"/>
        <v>26.783333333333331</v>
      </c>
      <c r="E66" s="25">
        <f t="shared" si="1"/>
        <v>0.4426397538527479</v>
      </c>
      <c r="G66" s="7" t="s">
        <v>89</v>
      </c>
      <c r="H66" s="22">
        <f t="shared" si="2"/>
        <v>-7.3530303030303017</v>
      </c>
    </row>
    <row r="67" spans="1:8" ht="15" x14ac:dyDescent="0.2">
      <c r="A67" s="14">
        <v>810</v>
      </c>
      <c r="B67" s="26">
        <f>AVERAGE(B33:AN33)</f>
        <v>33.628571428571426</v>
      </c>
      <c r="C67" s="27">
        <f>STDEV(B33:AN33)/SQRT(COUNT(B33:AN33))</f>
        <v>1.7714285714285682</v>
      </c>
      <c r="D67" s="26">
        <f t="shared" si="4"/>
        <v>26.650000000000002</v>
      </c>
      <c r="E67" s="28">
        <f t="shared" si="1"/>
        <v>0.45701601324640284</v>
      </c>
      <c r="G67" s="14" t="s">
        <v>87</v>
      </c>
      <c r="H67" s="29">
        <f>D67-B67</f>
        <v>-6.9785714285714242</v>
      </c>
    </row>
    <row r="74" spans="1:8" x14ac:dyDescent="0.2">
      <c r="A74" s="53" t="s">
        <v>72</v>
      </c>
      <c r="B74" s="30"/>
      <c r="C74" s="31"/>
      <c r="D74" s="1" t="s">
        <v>72</v>
      </c>
      <c r="E74" s="1"/>
      <c r="F74" s="1"/>
      <c r="G74" s="1"/>
      <c r="H74" s="1" t="s">
        <v>72</v>
      </c>
    </row>
    <row r="75" spans="1:8" x14ac:dyDescent="0.2">
      <c r="A75" s="32" t="s">
        <v>13</v>
      </c>
      <c r="B75" s="33">
        <v>30.147723849999998</v>
      </c>
      <c r="C75" s="34"/>
      <c r="D75" s="8"/>
      <c r="E75" s="9" t="s">
        <v>12</v>
      </c>
      <c r="F75" s="10" t="s">
        <v>23</v>
      </c>
      <c r="G75" s="35"/>
      <c r="H75" s="36" t="s">
        <v>45</v>
      </c>
    </row>
    <row r="76" spans="1:8" ht="15" x14ac:dyDescent="0.2">
      <c r="A76" s="1" t="s">
        <v>14</v>
      </c>
      <c r="B76" s="37">
        <v>32.312722950000001</v>
      </c>
      <c r="C76" s="34"/>
      <c r="D76" s="7" t="s">
        <v>0</v>
      </c>
      <c r="E76" s="24">
        <f>AVERAGE(B75:B84)</f>
        <v>30.702881118000004</v>
      </c>
      <c r="F76" s="25">
        <f>AVERAGE(B85:B94)</f>
        <v>15.018220294999997</v>
      </c>
      <c r="H76" s="11" t="s">
        <v>76</v>
      </c>
    </row>
    <row r="77" spans="1:8" x14ac:dyDescent="0.2">
      <c r="A77" s="1" t="s">
        <v>15</v>
      </c>
      <c r="B77" s="37">
        <v>28.558926490000001</v>
      </c>
      <c r="C77" s="34"/>
      <c r="D77" s="14" t="s">
        <v>1</v>
      </c>
      <c r="E77" s="27">
        <f>STDEV(B75:B84)/SQRT(COUNT(B75:B84))</f>
        <v>1.1956562303619562</v>
      </c>
      <c r="F77" s="28">
        <f>STDEV(B85:B94)/SQRT(COUNT(B85:B94))</f>
        <v>1.0374188788484551</v>
      </c>
      <c r="H77" s="13" t="s">
        <v>48</v>
      </c>
    </row>
    <row r="78" spans="1:8" x14ac:dyDescent="0.2">
      <c r="A78" s="1" t="s">
        <v>16</v>
      </c>
      <c r="B78" s="37">
        <v>27.706792199999999</v>
      </c>
      <c r="C78" s="34"/>
      <c r="E78" s="24"/>
      <c r="F78" s="24"/>
    </row>
    <row r="79" spans="1:8" x14ac:dyDescent="0.2">
      <c r="A79" s="1" t="s">
        <v>17</v>
      </c>
      <c r="B79" s="37">
        <v>27.931623930000001</v>
      </c>
      <c r="C79" s="34"/>
    </row>
    <row r="80" spans="1:8" x14ac:dyDescent="0.2">
      <c r="A80" s="1" t="s">
        <v>18</v>
      </c>
      <c r="B80" s="37">
        <v>26.773455380000001</v>
      </c>
      <c r="C80" s="34"/>
    </row>
    <row r="81" spans="1:3" x14ac:dyDescent="0.2">
      <c r="A81" s="1" t="s">
        <v>19</v>
      </c>
      <c r="B81" s="37">
        <v>35.751978889999997</v>
      </c>
      <c r="C81" s="34"/>
    </row>
    <row r="82" spans="1:3" x14ac:dyDescent="0.2">
      <c r="A82" s="1" t="s">
        <v>20</v>
      </c>
      <c r="B82" s="37">
        <v>38.415965079999999</v>
      </c>
      <c r="C82" s="34"/>
    </row>
    <row r="83" spans="1:3" x14ac:dyDescent="0.2">
      <c r="A83" s="1" t="s">
        <v>21</v>
      </c>
      <c r="B83" s="37">
        <v>30.747451869999999</v>
      </c>
      <c r="C83" s="34"/>
    </row>
    <row r="84" spans="1:3" x14ac:dyDescent="0.2">
      <c r="A84" s="38" t="s">
        <v>22</v>
      </c>
      <c r="B84" s="39">
        <v>28.682170540000001</v>
      </c>
      <c r="C84" s="34"/>
    </row>
    <row r="85" spans="1:3" x14ac:dyDescent="0.2">
      <c r="A85" s="40" t="s">
        <v>2</v>
      </c>
      <c r="B85" s="41">
        <v>11.12111661</v>
      </c>
      <c r="C85" s="34"/>
    </row>
    <row r="86" spans="1:3" x14ac:dyDescent="0.2">
      <c r="A86" s="42" t="s">
        <v>3</v>
      </c>
      <c r="B86" s="41">
        <v>20.640432100000002</v>
      </c>
      <c r="C86" s="34"/>
    </row>
    <row r="87" spans="1:3" x14ac:dyDescent="0.2">
      <c r="A87" s="42" t="s">
        <v>4</v>
      </c>
      <c r="B87" s="41">
        <v>15.69230769</v>
      </c>
      <c r="C87" s="34"/>
    </row>
    <row r="88" spans="1:3" x14ac:dyDescent="0.2">
      <c r="A88" s="42" t="s">
        <v>5</v>
      </c>
      <c r="B88" s="43">
        <v>13.69413694</v>
      </c>
      <c r="C88" s="34"/>
    </row>
    <row r="89" spans="1:3" x14ac:dyDescent="0.2">
      <c r="A89" s="42" t="s">
        <v>6</v>
      </c>
      <c r="B89" s="43">
        <v>16.570397109999998</v>
      </c>
      <c r="C89" s="34"/>
    </row>
    <row r="90" spans="1:3" x14ac:dyDescent="0.2">
      <c r="A90" s="42" t="s">
        <v>7</v>
      </c>
      <c r="B90" s="43">
        <v>16.455696199999998</v>
      </c>
      <c r="C90" s="34"/>
    </row>
    <row r="91" spans="1:3" x14ac:dyDescent="0.2">
      <c r="A91" s="42" t="s">
        <v>8</v>
      </c>
      <c r="B91" s="43">
        <v>10.6</v>
      </c>
      <c r="C91" s="34"/>
    </row>
    <row r="92" spans="1:3" x14ac:dyDescent="0.2">
      <c r="A92" s="42" t="s">
        <v>9</v>
      </c>
      <c r="B92" s="43">
        <v>13.90701468</v>
      </c>
      <c r="C92" s="34"/>
    </row>
    <row r="93" spans="1:3" x14ac:dyDescent="0.2">
      <c r="A93" s="42" t="s">
        <v>10</v>
      </c>
      <c r="B93" s="41">
        <v>12.467755800000001</v>
      </c>
      <c r="C93" s="34"/>
    </row>
    <row r="94" spans="1:3" x14ac:dyDescent="0.2">
      <c r="A94" s="44" t="s">
        <v>11</v>
      </c>
      <c r="B94" s="45">
        <v>19.033345820000001</v>
      </c>
      <c r="C94" s="34"/>
    </row>
    <row r="97" spans="1:8" x14ac:dyDescent="0.2">
      <c r="A97" s="53" t="s">
        <v>73</v>
      </c>
      <c r="B97" s="30"/>
      <c r="C97" s="31"/>
      <c r="D97" s="1" t="s">
        <v>73</v>
      </c>
      <c r="E97" s="1"/>
      <c r="F97" s="1"/>
      <c r="G97" s="1"/>
      <c r="H97" s="1" t="s">
        <v>73</v>
      </c>
    </row>
    <row r="98" spans="1:8" x14ac:dyDescent="0.2">
      <c r="A98" s="32" t="s">
        <v>13</v>
      </c>
      <c r="B98" s="33">
        <v>69.8523</v>
      </c>
      <c r="C98" s="34"/>
      <c r="D98" s="8"/>
      <c r="E98" s="9" t="s">
        <v>12</v>
      </c>
      <c r="F98" s="10" t="s">
        <v>23</v>
      </c>
      <c r="G98" s="46"/>
      <c r="H98" s="36" t="s">
        <v>45</v>
      </c>
    </row>
    <row r="99" spans="1:8" ht="15" x14ac:dyDescent="0.2">
      <c r="A99" s="1" t="s">
        <v>14</v>
      </c>
      <c r="B99" s="37">
        <v>67.687299999999993</v>
      </c>
      <c r="C99" s="34"/>
      <c r="D99" s="7" t="s">
        <v>0</v>
      </c>
      <c r="E99" s="24">
        <f>AVERAGE(B98:B107)</f>
        <v>69.297110000000004</v>
      </c>
      <c r="F99" s="25">
        <f>AVERAGE(B108:B117)</f>
        <v>84.981790000000004</v>
      </c>
      <c r="H99" s="11" t="s">
        <v>76</v>
      </c>
    </row>
    <row r="100" spans="1:8" x14ac:dyDescent="0.2">
      <c r="A100" s="1" t="s">
        <v>15</v>
      </c>
      <c r="B100" s="37">
        <v>71.441100000000006</v>
      </c>
      <c r="C100" s="34"/>
      <c r="D100" s="14" t="s">
        <v>1</v>
      </c>
      <c r="E100" s="27">
        <f>STDEV(B98:B107)/SQRT(COUNT(B98:B107))</f>
        <v>1.1956582678312948</v>
      </c>
      <c r="F100" s="28">
        <f>STDEV(B108:B117)/SQRT(COUNT(B108:B117))</f>
        <v>1.037415211041365</v>
      </c>
      <c r="H100" s="13" t="s">
        <v>49</v>
      </c>
    </row>
    <row r="101" spans="1:8" x14ac:dyDescent="0.2">
      <c r="A101" s="1" t="s">
        <v>16</v>
      </c>
      <c r="B101" s="37">
        <v>72.293199999999999</v>
      </c>
      <c r="C101" s="34"/>
    </row>
    <row r="102" spans="1:8" x14ac:dyDescent="0.2">
      <c r="A102" s="1" t="s">
        <v>17</v>
      </c>
      <c r="B102" s="37">
        <v>72.068399999999997</v>
      </c>
      <c r="C102" s="34"/>
      <c r="F102" s="24"/>
      <c r="G102" s="24"/>
    </row>
    <row r="103" spans="1:8" x14ac:dyDescent="0.2">
      <c r="A103" s="1" t="s">
        <v>18</v>
      </c>
      <c r="B103" s="37">
        <v>73.226500000000001</v>
      </c>
      <c r="C103" s="34"/>
    </row>
    <row r="104" spans="1:8" x14ac:dyDescent="0.2">
      <c r="A104" s="1" t="s">
        <v>19</v>
      </c>
      <c r="B104" s="37">
        <v>64.248000000000005</v>
      </c>
      <c r="C104" s="34"/>
    </row>
    <row r="105" spans="1:8" x14ac:dyDescent="0.2">
      <c r="A105" s="1" t="s">
        <v>20</v>
      </c>
      <c r="B105" s="37">
        <v>61.584000000000003</v>
      </c>
      <c r="C105" s="34"/>
    </row>
    <row r="106" spans="1:8" x14ac:dyDescent="0.2">
      <c r="A106" s="1" t="s">
        <v>21</v>
      </c>
      <c r="B106" s="37">
        <v>69.252499999999998</v>
      </c>
      <c r="C106" s="34"/>
    </row>
    <row r="107" spans="1:8" x14ac:dyDescent="0.2">
      <c r="A107" s="38" t="s">
        <v>22</v>
      </c>
      <c r="B107" s="39">
        <v>71.317800000000005</v>
      </c>
      <c r="C107" s="34"/>
    </row>
    <row r="108" spans="1:8" x14ac:dyDescent="0.2">
      <c r="A108" s="40" t="s">
        <v>2</v>
      </c>
      <c r="B108" s="41">
        <v>88.878900000000002</v>
      </c>
      <c r="C108" s="34"/>
    </row>
    <row r="109" spans="1:8" x14ac:dyDescent="0.2">
      <c r="A109" s="42" t="s">
        <v>3</v>
      </c>
      <c r="B109" s="41">
        <v>79.3596</v>
      </c>
      <c r="C109" s="34"/>
    </row>
    <row r="110" spans="1:8" x14ac:dyDescent="0.2">
      <c r="A110" s="42" t="s">
        <v>4</v>
      </c>
      <c r="B110" s="41">
        <v>84.307699999999997</v>
      </c>
      <c r="C110" s="34"/>
    </row>
    <row r="111" spans="1:8" x14ac:dyDescent="0.2">
      <c r="A111" s="42" t="s">
        <v>5</v>
      </c>
      <c r="B111" s="43">
        <v>86.305899999999994</v>
      </c>
      <c r="C111" s="34"/>
    </row>
    <row r="112" spans="1:8" x14ac:dyDescent="0.2">
      <c r="A112" s="42" t="s">
        <v>6</v>
      </c>
      <c r="B112" s="43">
        <v>83.429599999999994</v>
      </c>
      <c r="C112" s="34"/>
    </row>
    <row r="113" spans="1:28" x14ac:dyDescent="0.2">
      <c r="A113" s="42" t="s">
        <v>7</v>
      </c>
      <c r="B113" s="43">
        <v>83.544300000000007</v>
      </c>
      <c r="C113" s="34"/>
    </row>
    <row r="114" spans="1:28" x14ac:dyDescent="0.2">
      <c r="A114" s="42" t="s">
        <v>8</v>
      </c>
      <c r="B114" s="43">
        <v>89.4</v>
      </c>
      <c r="C114" s="34"/>
    </row>
    <row r="115" spans="1:28" x14ac:dyDescent="0.2">
      <c r="A115" s="42" t="s">
        <v>9</v>
      </c>
      <c r="B115" s="43">
        <v>86.093000000000004</v>
      </c>
      <c r="C115" s="34"/>
    </row>
    <row r="116" spans="1:28" x14ac:dyDescent="0.2">
      <c r="A116" s="42" t="s">
        <v>10</v>
      </c>
      <c r="B116" s="41">
        <v>87.532200000000003</v>
      </c>
      <c r="C116" s="34"/>
    </row>
    <row r="117" spans="1:28" x14ac:dyDescent="0.2">
      <c r="A117" s="44" t="s">
        <v>11</v>
      </c>
      <c r="B117" s="45">
        <v>80.966700000000003</v>
      </c>
      <c r="C117" s="34"/>
    </row>
    <row r="118" spans="1:28" x14ac:dyDescent="0.2">
      <c r="T118" s="47"/>
    </row>
    <row r="120" spans="1:28" x14ac:dyDescent="0.2">
      <c r="A120" s="53" t="s">
        <v>74</v>
      </c>
      <c r="B120" s="1"/>
      <c r="L120" s="2" t="s">
        <v>29</v>
      </c>
      <c r="P120" s="2" t="s">
        <v>29</v>
      </c>
      <c r="R120" s="2" t="s">
        <v>32</v>
      </c>
      <c r="V120" s="2" t="s">
        <v>32</v>
      </c>
      <c r="X120" s="2" t="s">
        <v>34</v>
      </c>
      <c r="AB120" s="2" t="s">
        <v>34</v>
      </c>
    </row>
    <row r="121" spans="1:28" x14ac:dyDescent="0.2">
      <c r="A121" s="40"/>
      <c r="B121" s="32" t="s">
        <v>29</v>
      </c>
      <c r="C121" s="8" t="s">
        <v>30</v>
      </c>
      <c r="D121" s="6" t="s">
        <v>31</v>
      </c>
      <c r="E121" s="4" t="s">
        <v>32</v>
      </c>
      <c r="F121" s="3" t="s">
        <v>33</v>
      </c>
      <c r="G121" s="5" t="s">
        <v>101</v>
      </c>
      <c r="H121" s="3" t="s">
        <v>34</v>
      </c>
      <c r="I121" s="3" t="s">
        <v>35</v>
      </c>
      <c r="J121" s="3" t="s">
        <v>36</v>
      </c>
      <c r="L121" s="8"/>
      <c r="M121" s="9" t="s">
        <v>12</v>
      </c>
      <c r="N121" s="10" t="s">
        <v>23</v>
      </c>
      <c r="P121" s="36" t="s">
        <v>84</v>
      </c>
      <c r="R121" s="8"/>
      <c r="S121" s="9" t="s">
        <v>12</v>
      </c>
      <c r="T121" s="10" t="s">
        <v>23</v>
      </c>
      <c r="V121" s="36" t="s">
        <v>86</v>
      </c>
      <c r="W121" s="1"/>
      <c r="X121" s="8"/>
      <c r="Y121" s="9" t="s">
        <v>12</v>
      </c>
      <c r="Z121" s="10" t="s">
        <v>23</v>
      </c>
      <c r="AA121" s="47"/>
      <c r="AB121" s="36" t="s">
        <v>86</v>
      </c>
    </row>
    <row r="122" spans="1:28" x14ac:dyDescent="0.2">
      <c r="A122" s="40" t="s">
        <v>13</v>
      </c>
      <c r="B122" s="8">
        <v>1781.7</v>
      </c>
      <c r="C122" s="8">
        <v>1418.8</v>
      </c>
      <c r="D122" s="6">
        <v>700.3</v>
      </c>
      <c r="E122" s="2">
        <v>102.8</v>
      </c>
      <c r="F122" s="6">
        <v>221.6</v>
      </c>
      <c r="G122" s="10">
        <v>166</v>
      </c>
      <c r="H122" s="6">
        <v>236.6</v>
      </c>
      <c r="I122" s="6">
        <v>101.7</v>
      </c>
      <c r="J122" s="6">
        <v>17.600000000000001</v>
      </c>
      <c r="L122" s="7" t="s">
        <v>0</v>
      </c>
      <c r="M122" s="24">
        <f>AVERAGE(B122:B127)</f>
        <v>1568.4666666666665</v>
      </c>
      <c r="N122" s="25">
        <f>AVERAGE(B128:B133)</f>
        <v>1138.7666666666667</v>
      </c>
      <c r="P122" s="11" t="s">
        <v>38</v>
      </c>
      <c r="R122" s="7" t="s">
        <v>0</v>
      </c>
      <c r="S122" s="24">
        <f>AVERAGE(E122:E127)</f>
        <v>100.5</v>
      </c>
      <c r="T122" s="25">
        <f>AVERAGE(E128:E133)</f>
        <v>69.783333333333346</v>
      </c>
      <c r="V122" s="11" t="s">
        <v>39</v>
      </c>
      <c r="W122" s="46"/>
      <c r="X122" s="7" t="s">
        <v>0</v>
      </c>
      <c r="Y122" s="24">
        <f>AVERAGE(H122:H127)</f>
        <v>255.35</v>
      </c>
      <c r="Z122" s="25">
        <f>AVERAGE(H128:H133)</f>
        <v>220.65</v>
      </c>
      <c r="AB122" s="11" t="s">
        <v>40</v>
      </c>
    </row>
    <row r="123" spans="1:28" x14ac:dyDescent="0.2">
      <c r="A123" s="42" t="s">
        <v>14</v>
      </c>
      <c r="B123" s="7">
        <v>1468</v>
      </c>
      <c r="C123" s="7">
        <v>2060.5</v>
      </c>
      <c r="D123" s="11">
        <v>927.5</v>
      </c>
      <c r="E123" s="2">
        <v>79.8</v>
      </c>
      <c r="F123" s="11">
        <v>186.8</v>
      </c>
      <c r="G123" s="12">
        <v>136</v>
      </c>
      <c r="H123" s="11">
        <v>286.3</v>
      </c>
      <c r="I123" s="11">
        <v>140.69999999999999</v>
      </c>
      <c r="J123" s="11">
        <v>13.6</v>
      </c>
      <c r="L123" s="14" t="s">
        <v>1</v>
      </c>
      <c r="M123" s="27">
        <f>STDEV(B122:B127)/SQRT(COUNT(B122:B127))</f>
        <v>102.97317665834726</v>
      </c>
      <c r="N123" s="28">
        <f>STDEV(B128:B133)/SQRT(COUNT(B128:B133))</f>
        <v>68.261637184520922</v>
      </c>
      <c r="P123" s="13" t="s">
        <v>50</v>
      </c>
      <c r="R123" s="14" t="s">
        <v>1</v>
      </c>
      <c r="S123" s="27">
        <f>STDEV(E122:E127)/SQRT(COUNT(E122:E127))</f>
        <v>4.7969434712811552</v>
      </c>
      <c r="T123" s="28">
        <f>STDEV(E128:E133)/SQRT(COUNT(E128:E133))</f>
        <v>4.7929404104137854</v>
      </c>
      <c r="V123" s="13" t="s">
        <v>52</v>
      </c>
      <c r="X123" s="14" t="s">
        <v>1</v>
      </c>
      <c r="Y123" s="27">
        <f>STDEV(H122:H127)/SQRT(COUNT(H122:H127))</f>
        <v>9.550837659598244</v>
      </c>
      <c r="Z123" s="28">
        <f>STDEV(H128:H133)/SQRT(COUNT(H128:H133))</f>
        <v>4.8201486837371883</v>
      </c>
      <c r="AB123" s="13" t="s">
        <v>55</v>
      </c>
    </row>
    <row r="124" spans="1:28" x14ac:dyDescent="0.2">
      <c r="A124" s="42" t="s">
        <v>15</v>
      </c>
      <c r="B124" s="7">
        <v>1257.9000000000001</v>
      </c>
      <c r="C124" s="7">
        <v>982.7</v>
      </c>
      <c r="D124" s="11">
        <v>509.6</v>
      </c>
      <c r="E124" s="2">
        <v>113.8</v>
      </c>
      <c r="F124" s="11">
        <v>192.4</v>
      </c>
      <c r="G124" s="12">
        <v>104.4</v>
      </c>
      <c r="H124" s="11">
        <v>233.6</v>
      </c>
      <c r="I124" s="11">
        <v>109.9</v>
      </c>
      <c r="J124" s="11">
        <v>18.7</v>
      </c>
    </row>
    <row r="125" spans="1:28" x14ac:dyDescent="0.2">
      <c r="A125" s="42" t="s">
        <v>16</v>
      </c>
      <c r="B125" s="7">
        <v>1544.9</v>
      </c>
      <c r="C125" s="7">
        <v>1511.2</v>
      </c>
      <c r="D125" s="11">
        <v>612.5</v>
      </c>
      <c r="E125" s="2">
        <v>95.4</v>
      </c>
      <c r="F125" s="11">
        <v>161.80000000000001</v>
      </c>
      <c r="G125" s="12">
        <v>98.9</v>
      </c>
      <c r="H125" s="11">
        <v>234.4</v>
      </c>
      <c r="I125" s="11">
        <v>92.7</v>
      </c>
      <c r="J125" s="11">
        <v>16.899999999999999</v>
      </c>
      <c r="L125" s="2" t="s">
        <v>30</v>
      </c>
      <c r="P125" s="2" t="s">
        <v>30</v>
      </c>
      <c r="R125" s="2" t="s">
        <v>33</v>
      </c>
      <c r="V125" s="2" t="s">
        <v>33</v>
      </c>
      <c r="X125" s="2" t="s">
        <v>35</v>
      </c>
      <c r="AB125" s="2" t="s">
        <v>35</v>
      </c>
    </row>
    <row r="126" spans="1:28" x14ac:dyDescent="0.2">
      <c r="A126" s="42" t="s">
        <v>17</v>
      </c>
      <c r="B126" s="7">
        <v>1944.7</v>
      </c>
      <c r="C126" s="7">
        <v>1100</v>
      </c>
      <c r="D126" s="11">
        <v>601.20000000000005</v>
      </c>
      <c r="E126" s="2">
        <v>106.5</v>
      </c>
      <c r="F126" s="11">
        <v>214.9</v>
      </c>
      <c r="G126" s="12">
        <v>183.8</v>
      </c>
      <c r="H126" s="11">
        <v>265.60000000000002</v>
      </c>
      <c r="I126" s="11">
        <v>115.7</v>
      </c>
      <c r="J126" s="11">
        <v>17.2</v>
      </c>
      <c r="L126" s="8"/>
      <c r="M126" s="9" t="s">
        <v>12</v>
      </c>
      <c r="N126" s="10" t="s">
        <v>23</v>
      </c>
      <c r="P126" s="36" t="s">
        <v>85</v>
      </c>
      <c r="R126" s="8"/>
      <c r="S126" s="9" t="s">
        <v>12</v>
      </c>
      <c r="T126" s="10" t="s">
        <v>23</v>
      </c>
      <c r="V126" s="36" t="s">
        <v>86</v>
      </c>
      <c r="X126" s="8"/>
      <c r="Y126" s="9" t="s">
        <v>12</v>
      </c>
      <c r="Z126" s="10" t="s">
        <v>23</v>
      </c>
      <c r="AB126" s="36" t="s">
        <v>86</v>
      </c>
    </row>
    <row r="127" spans="1:28" x14ac:dyDescent="0.2">
      <c r="A127" s="42" t="s">
        <v>18</v>
      </c>
      <c r="B127" s="14">
        <v>1413.6</v>
      </c>
      <c r="C127" s="14">
        <v>1168</v>
      </c>
      <c r="D127" s="13">
        <v>778.8</v>
      </c>
      <c r="E127" s="2">
        <v>104.7</v>
      </c>
      <c r="F127" s="13">
        <v>179.2</v>
      </c>
      <c r="G127" s="16">
        <v>139.69999999999999</v>
      </c>
      <c r="H127" s="13">
        <v>275.60000000000002</v>
      </c>
      <c r="I127" s="11">
        <v>97.3</v>
      </c>
      <c r="J127" s="11">
        <v>17.5</v>
      </c>
      <c r="L127" s="7" t="s">
        <v>0</v>
      </c>
      <c r="M127" s="24">
        <f>AVERAGE(C122:C127)</f>
        <v>1373.5333333333335</v>
      </c>
      <c r="N127" s="25">
        <f>AVERAGE(C128:C133)</f>
        <v>376.23333333333335</v>
      </c>
      <c r="P127" s="11" t="s">
        <v>39</v>
      </c>
      <c r="R127" s="7" t="s">
        <v>0</v>
      </c>
      <c r="S127" s="24">
        <f>AVERAGE(F122:F127)</f>
        <v>192.7833333333333</v>
      </c>
      <c r="T127" s="25">
        <f>AVERAGE(F128:F133)</f>
        <v>135.83333333333334</v>
      </c>
      <c r="V127" s="11" t="s">
        <v>37</v>
      </c>
      <c r="X127" s="7" t="s">
        <v>0</v>
      </c>
      <c r="Y127" s="24">
        <f>AVERAGE(I122:I127)</f>
        <v>109.66666666666664</v>
      </c>
      <c r="Z127" s="25">
        <f>AVERAGE(I128:I133)</f>
        <v>90.833333333333329</v>
      </c>
      <c r="AB127" s="11" t="s">
        <v>41</v>
      </c>
    </row>
    <row r="128" spans="1:28" x14ac:dyDescent="0.2">
      <c r="A128" s="32" t="s">
        <v>2</v>
      </c>
      <c r="B128" s="6">
        <v>1455</v>
      </c>
      <c r="C128" s="9">
        <v>437.1</v>
      </c>
      <c r="D128" s="6">
        <v>245.6</v>
      </c>
      <c r="E128" s="9">
        <v>69.8</v>
      </c>
      <c r="F128" s="6">
        <v>138.6</v>
      </c>
      <c r="G128" s="9">
        <v>207.7</v>
      </c>
      <c r="H128" s="6">
        <v>218.1</v>
      </c>
      <c r="I128" s="6">
        <v>85.5</v>
      </c>
      <c r="J128" s="6">
        <v>14.8</v>
      </c>
      <c r="L128" s="14" t="s">
        <v>1</v>
      </c>
      <c r="M128" s="27">
        <f>STDEV(C122:C127)/SQRT(COUNT(C122:C127))</f>
        <v>159.45109107323287</v>
      </c>
      <c r="N128" s="28">
        <f>STDEV(C128:C133)/SQRT(COUNT(C128:C133))</f>
        <v>45.207519040285455</v>
      </c>
      <c r="P128" s="13" t="s">
        <v>51</v>
      </c>
      <c r="R128" s="14" t="s">
        <v>1</v>
      </c>
      <c r="S128" s="27">
        <f>STDEV(F122:F127)/SQRT(COUNT(F122:F127))</f>
        <v>9.1286514764109281</v>
      </c>
      <c r="T128" s="28">
        <f>STDEV(F128:F133)/SQRT(COUNT(F128:F133))</f>
        <v>6.5789901285160441</v>
      </c>
      <c r="V128" s="13" t="s">
        <v>53</v>
      </c>
      <c r="X128" s="14" t="s">
        <v>1</v>
      </c>
      <c r="Y128" s="27">
        <f>STDEV(I122:I127)/SQRT(COUNT(I122:I127))</f>
        <v>7.0800031387312954</v>
      </c>
      <c r="Z128" s="28">
        <f>STDEV(I128:I133)/SQRT(COUNT(I128:I133))</f>
        <v>6.8704035139462123</v>
      </c>
      <c r="AB128" s="13" t="s">
        <v>56</v>
      </c>
    </row>
    <row r="129" spans="1:28" x14ac:dyDescent="0.2">
      <c r="A129" s="38" t="s">
        <v>3</v>
      </c>
      <c r="B129" s="11">
        <v>1018.1</v>
      </c>
      <c r="C129" s="2">
        <v>537.9</v>
      </c>
      <c r="D129" s="11">
        <v>329.2</v>
      </c>
      <c r="E129" s="2">
        <v>63.1</v>
      </c>
      <c r="F129" s="11">
        <v>128.4</v>
      </c>
      <c r="G129" s="2">
        <v>61.4</v>
      </c>
      <c r="H129" s="11">
        <v>228.3</v>
      </c>
      <c r="I129" s="11">
        <v>108.9</v>
      </c>
      <c r="J129" s="11">
        <v>13.4</v>
      </c>
      <c r="L129" s="47"/>
    </row>
    <row r="130" spans="1:28" x14ac:dyDescent="0.2">
      <c r="A130" s="38" t="s">
        <v>4</v>
      </c>
      <c r="B130" s="11">
        <v>1188.8</v>
      </c>
      <c r="C130" s="2">
        <v>390.8</v>
      </c>
      <c r="D130" s="11">
        <v>131.4</v>
      </c>
      <c r="E130" s="2">
        <v>52.9</v>
      </c>
      <c r="F130" s="11">
        <v>164.3</v>
      </c>
      <c r="G130" s="2">
        <v>128.4</v>
      </c>
      <c r="H130" s="11">
        <v>234.8</v>
      </c>
      <c r="I130" s="11">
        <v>105.5</v>
      </c>
      <c r="J130" s="11">
        <v>13.4</v>
      </c>
      <c r="L130" s="2" t="s">
        <v>31</v>
      </c>
      <c r="P130" s="2" t="s">
        <v>31</v>
      </c>
      <c r="R130" s="2" t="s">
        <v>101</v>
      </c>
      <c r="V130" s="2" t="s">
        <v>101</v>
      </c>
      <c r="X130" s="2" t="s">
        <v>36</v>
      </c>
      <c r="AA130" s="47"/>
      <c r="AB130" s="2" t="s">
        <v>36</v>
      </c>
    </row>
    <row r="131" spans="1:28" x14ac:dyDescent="0.2">
      <c r="A131" s="38" t="s">
        <v>25</v>
      </c>
      <c r="B131" s="11">
        <v>1098.0999999999999</v>
      </c>
      <c r="C131" s="2">
        <v>371.9</v>
      </c>
      <c r="D131" s="11">
        <v>254.4</v>
      </c>
      <c r="E131" s="2">
        <v>70.900000000000006</v>
      </c>
      <c r="F131" s="11">
        <v>132.4</v>
      </c>
      <c r="G131" s="2">
        <v>66.5</v>
      </c>
      <c r="H131" s="11">
        <v>221.6</v>
      </c>
      <c r="I131" s="11">
        <v>99.3</v>
      </c>
      <c r="J131" s="11">
        <v>14.1</v>
      </c>
      <c r="L131" s="8"/>
      <c r="M131" s="9" t="s">
        <v>12</v>
      </c>
      <c r="N131" s="10" t="s">
        <v>23</v>
      </c>
      <c r="P131" s="36" t="s">
        <v>86</v>
      </c>
      <c r="R131" s="8"/>
      <c r="S131" s="9" t="s">
        <v>12</v>
      </c>
      <c r="T131" s="10" t="s">
        <v>23</v>
      </c>
      <c r="V131" s="36" t="s">
        <v>86</v>
      </c>
      <c r="X131" s="8"/>
      <c r="Y131" s="9" t="s">
        <v>12</v>
      </c>
      <c r="Z131" s="10" t="s">
        <v>23</v>
      </c>
      <c r="AB131" s="36" t="s">
        <v>86</v>
      </c>
    </row>
    <row r="132" spans="1:28" ht="15" x14ac:dyDescent="0.2">
      <c r="A132" s="38" t="s">
        <v>24</v>
      </c>
      <c r="B132" s="11">
        <v>1030.4000000000001</v>
      </c>
      <c r="C132" s="2">
        <v>305.39999999999998</v>
      </c>
      <c r="D132" s="11">
        <v>219.3</v>
      </c>
      <c r="E132" s="2">
        <v>88.3</v>
      </c>
      <c r="F132" s="11">
        <v>135.80000000000001</v>
      </c>
      <c r="G132" s="2">
        <v>77.7</v>
      </c>
      <c r="H132" s="11">
        <v>221.2</v>
      </c>
      <c r="I132" s="11">
        <v>81</v>
      </c>
      <c r="J132" s="11">
        <v>18.8</v>
      </c>
      <c r="L132" s="7" t="s">
        <v>0</v>
      </c>
      <c r="M132" s="24">
        <f>AVERAGE(D122:D127)</f>
        <v>688.31666666666672</v>
      </c>
      <c r="N132" s="25">
        <f>AVERAGE(D128:D133)</f>
        <v>210.64999999999998</v>
      </c>
      <c r="P132" s="11" t="s">
        <v>77</v>
      </c>
      <c r="R132" s="7" t="s">
        <v>0</v>
      </c>
      <c r="S132" s="24">
        <f>AVERAGE(G122:G127)</f>
        <v>138.13333333333333</v>
      </c>
      <c r="T132" s="25">
        <f>AVERAGE(G128:G133)</f>
        <v>109.26666666666667</v>
      </c>
      <c r="V132" s="11" t="s">
        <v>43</v>
      </c>
      <c r="X132" s="7" t="s">
        <v>0</v>
      </c>
      <c r="Y132" s="24">
        <f>AVERAGE(J122:J127)</f>
        <v>16.916666666666668</v>
      </c>
      <c r="Z132" s="25">
        <f>AVERAGE(J128:J133)</f>
        <v>14.966666666666667</v>
      </c>
      <c r="AB132" s="11" t="s">
        <v>42</v>
      </c>
    </row>
    <row r="133" spans="1:28" x14ac:dyDescent="0.2">
      <c r="A133" s="48" t="s">
        <v>26</v>
      </c>
      <c r="B133" s="13">
        <v>1042.2</v>
      </c>
      <c r="C133" s="15">
        <v>214.3</v>
      </c>
      <c r="D133" s="13">
        <v>84</v>
      </c>
      <c r="E133" s="15">
        <v>73.7</v>
      </c>
      <c r="F133" s="13">
        <v>115.5</v>
      </c>
      <c r="G133" s="15">
        <v>113.9</v>
      </c>
      <c r="H133" s="13">
        <v>199.9</v>
      </c>
      <c r="I133" s="13">
        <v>64.8</v>
      </c>
      <c r="J133" s="13">
        <v>15.3</v>
      </c>
      <c r="L133" s="14" t="s">
        <v>1</v>
      </c>
      <c r="M133" s="27">
        <f>STDEV(D122:D127)/SQRT(COUNT(D122:D127))</f>
        <v>60.777361008117836</v>
      </c>
      <c r="N133" s="28">
        <f>STDEV(D128:D133)/SQRT(COUNT(D128:D133))</f>
        <v>36.325048749680541</v>
      </c>
      <c r="P133" s="13" t="s">
        <v>57</v>
      </c>
      <c r="R133" s="14" t="s">
        <v>1</v>
      </c>
      <c r="S133" s="27">
        <f>STDEV(G122:G127)/SQRT(COUNT(G122:G127))</f>
        <v>13.596805180302889</v>
      </c>
      <c r="T133" s="28">
        <f>STDEV(G128:G133)/SQRT(COUNT(G128:G133))</f>
        <v>22.504320572824341</v>
      </c>
      <c r="V133" s="13" t="s">
        <v>54</v>
      </c>
      <c r="X133" s="14" t="s">
        <v>1</v>
      </c>
      <c r="Y133" s="27">
        <f>STDEV(J122:J127)/SQRT(COUNT(J122:J127))</f>
        <v>0.70871558313457306</v>
      </c>
      <c r="Z133" s="28">
        <f>STDEV(J128:J133)/SQRT(COUNT(J128:J133))</f>
        <v>0.82650536060640223</v>
      </c>
      <c r="AB133" s="39" t="s">
        <v>66</v>
      </c>
    </row>
    <row r="135" spans="1:28" x14ac:dyDescent="0.2">
      <c r="P135" s="49"/>
    </row>
    <row r="137" spans="1:28" x14ac:dyDescent="0.2">
      <c r="A137" s="53" t="s">
        <v>75</v>
      </c>
      <c r="B137" s="1"/>
      <c r="L137" s="2" t="s">
        <v>29</v>
      </c>
      <c r="P137" s="2" t="s">
        <v>29</v>
      </c>
      <c r="R137" s="2" t="s">
        <v>32</v>
      </c>
      <c r="V137" s="2" t="s">
        <v>32</v>
      </c>
      <c r="X137" s="2" t="s">
        <v>34</v>
      </c>
      <c r="AB137" s="2" t="s">
        <v>34</v>
      </c>
    </row>
    <row r="138" spans="1:28" x14ac:dyDescent="0.2">
      <c r="A138" s="40"/>
      <c r="B138" s="32" t="s">
        <v>29</v>
      </c>
      <c r="C138" s="8" t="s">
        <v>30</v>
      </c>
      <c r="D138" s="6" t="s">
        <v>31</v>
      </c>
      <c r="E138" s="4" t="s">
        <v>32</v>
      </c>
      <c r="F138" s="3" t="s">
        <v>33</v>
      </c>
      <c r="G138" s="5" t="s">
        <v>101</v>
      </c>
      <c r="H138" s="3" t="s">
        <v>34</v>
      </c>
      <c r="I138" s="3" t="s">
        <v>35</v>
      </c>
      <c r="J138" s="3" t="s">
        <v>36</v>
      </c>
      <c r="L138" s="8"/>
      <c r="M138" s="9" t="s">
        <v>12</v>
      </c>
      <c r="N138" s="10" t="s">
        <v>23</v>
      </c>
      <c r="O138" s="1"/>
      <c r="P138" s="36" t="s">
        <v>46</v>
      </c>
      <c r="R138" s="8"/>
      <c r="S138" s="9" t="s">
        <v>12</v>
      </c>
      <c r="T138" s="10" t="s">
        <v>23</v>
      </c>
      <c r="V138" s="36" t="s">
        <v>46</v>
      </c>
      <c r="X138" s="8"/>
      <c r="Y138" s="9" t="s">
        <v>12</v>
      </c>
      <c r="Z138" s="10" t="s">
        <v>23</v>
      </c>
      <c r="AB138" s="36" t="s">
        <v>46</v>
      </c>
    </row>
    <row r="139" spans="1:28" x14ac:dyDescent="0.2">
      <c r="A139" s="40" t="s">
        <v>13</v>
      </c>
      <c r="B139" s="8">
        <v>5.6923320000000004</v>
      </c>
      <c r="C139" s="8">
        <v>4.5329069999999998</v>
      </c>
      <c r="D139" s="6">
        <v>2.2373799999999999</v>
      </c>
      <c r="E139" s="2">
        <v>0.32843500000000003</v>
      </c>
      <c r="F139" s="6">
        <v>0.70798700000000003</v>
      </c>
      <c r="G139" s="10">
        <v>0.53035100000000002</v>
      </c>
      <c r="H139" s="6">
        <v>0.755911</v>
      </c>
      <c r="I139" s="6">
        <v>0.32491999999999999</v>
      </c>
      <c r="J139" s="6">
        <v>5.6229999999999995E-2</v>
      </c>
      <c r="L139" s="7" t="s">
        <v>0</v>
      </c>
      <c r="M139" s="24">
        <f>AVERAGE(B139:B144)</f>
        <v>4.8244065000000003</v>
      </c>
      <c r="N139" s="25">
        <f>AVERAGE(B145:B150)</f>
        <v>4.7643820000000003</v>
      </c>
      <c r="O139" s="46"/>
      <c r="P139" s="11" t="s">
        <v>47</v>
      </c>
      <c r="R139" s="7" t="s">
        <v>0</v>
      </c>
      <c r="S139" s="24">
        <f>AVERAGE(E139:E144)</f>
        <v>0.31386816666666673</v>
      </c>
      <c r="T139" s="25">
        <f>AVERAGE(E145:E150)</f>
        <v>0.29205533333333333</v>
      </c>
      <c r="V139" s="11" t="s">
        <v>68</v>
      </c>
      <c r="X139" s="7" t="s">
        <v>0</v>
      </c>
      <c r="Y139" s="24">
        <f>AVERAGE(H139:H144)</f>
        <v>0.79064650000000014</v>
      </c>
      <c r="Z139" s="25">
        <f>AVERAGE(H145:H150)</f>
        <v>0.92017983333333342</v>
      </c>
      <c r="AB139" s="11" t="s">
        <v>58</v>
      </c>
    </row>
    <row r="140" spans="1:28" x14ac:dyDescent="0.2">
      <c r="A140" s="42" t="s">
        <v>14</v>
      </c>
      <c r="B140" s="7">
        <v>4.4484849999999998</v>
      </c>
      <c r="C140" s="7">
        <v>6.2439390000000001</v>
      </c>
      <c r="D140" s="11">
        <v>2.8106059999999999</v>
      </c>
      <c r="E140" s="2">
        <v>0.24181799999999998</v>
      </c>
      <c r="F140" s="11">
        <v>0.56606100000000004</v>
      </c>
      <c r="G140" s="12">
        <v>0.41212100000000002</v>
      </c>
      <c r="H140" s="11">
        <v>0.8675759999999999</v>
      </c>
      <c r="I140" s="11">
        <v>0.42636400000000002</v>
      </c>
      <c r="J140" s="11">
        <v>4.1211999999999999E-2</v>
      </c>
      <c r="L140" s="14" t="s">
        <v>1</v>
      </c>
      <c r="M140" s="27">
        <f>STDEV(B139:B144)/SQRT(COUNT(B139:B144))</f>
        <v>0.2093416486626189</v>
      </c>
      <c r="N140" s="28">
        <f>STDEV(B145:B150)/SQRT(COUNT(B145:B150))</f>
        <v>0.32467779341720743</v>
      </c>
      <c r="P140" s="13" t="s">
        <v>59</v>
      </c>
      <c r="R140" s="14" t="s">
        <v>1</v>
      </c>
      <c r="S140" s="27">
        <f>STDEV(E139:E144)/SQRT(COUNT(E139:E144))</f>
        <v>2.5219741872081858E-2</v>
      </c>
      <c r="T140" s="28">
        <f>STDEV(E145:E150)/SQRT(COUNT(E145:E150))</f>
        <v>2.2370252191495573E-2</v>
      </c>
      <c r="V140" s="13" t="s">
        <v>62</v>
      </c>
      <c r="X140" s="14" t="s">
        <v>1</v>
      </c>
      <c r="Y140" s="27">
        <f>STDEV(H139:H144)/SQRT(COUNT(H139:H144))</f>
        <v>3.1380077806096446E-2</v>
      </c>
      <c r="Z140" s="28">
        <f>STDEV(H145:H150)/SQRT(COUNT(H145:H150))</f>
        <v>1.523790579534399E-2</v>
      </c>
      <c r="AB140" s="13" t="s">
        <v>69</v>
      </c>
    </row>
    <row r="141" spans="1:28" x14ac:dyDescent="0.2">
      <c r="A141" s="42" t="s">
        <v>15</v>
      </c>
      <c r="B141" s="7">
        <v>4.6588890000000003</v>
      </c>
      <c r="C141" s="7">
        <v>3.6396299999999999</v>
      </c>
      <c r="D141" s="11">
        <v>1.8874070000000001</v>
      </c>
      <c r="E141" s="2">
        <v>0.42148100000000005</v>
      </c>
      <c r="F141" s="11">
        <v>0.71259300000000003</v>
      </c>
      <c r="G141" s="12">
        <v>0.38666699999999998</v>
      </c>
      <c r="H141" s="11">
        <v>0.86518500000000009</v>
      </c>
      <c r="I141" s="11">
        <v>0.40703700000000004</v>
      </c>
      <c r="J141" s="11">
        <v>6.9259000000000001E-2</v>
      </c>
    </row>
    <row r="142" spans="1:28" x14ac:dyDescent="0.2">
      <c r="A142" s="42" t="s">
        <v>16</v>
      </c>
      <c r="B142" s="7">
        <v>5.0159090000000006</v>
      </c>
      <c r="C142" s="7">
        <v>4.9064940000000004</v>
      </c>
      <c r="D142" s="11">
        <v>1.9886359999999998</v>
      </c>
      <c r="E142" s="2">
        <v>0.30974000000000002</v>
      </c>
      <c r="F142" s="11">
        <v>0.52532500000000004</v>
      </c>
      <c r="G142" s="12">
        <v>0.321104</v>
      </c>
      <c r="H142" s="11">
        <v>0.76103900000000002</v>
      </c>
      <c r="I142" s="11">
        <v>0.30097399999999996</v>
      </c>
      <c r="J142" s="11">
        <v>5.4869999999999995E-2</v>
      </c>
      <c r="L142" s="2" t="s">
        <v>30</v>
      </c>
      <c r="P142" s="2" t="s">
        <v>30</v>
      </c>
      <c r="R142" s="2" t="s">
        <v>33</v>
      </c>
      <c r="V142" s="2" t="s">
        <v>33</v>
      </c>
      <c r="X142" s="2" t="s">
        <v>35</v>
      </c>
      <c r="AB142" s="2" t="s">
        <v>35</v>
      </c>
    </row>
    <row r="143" spans="1:28" x14ac:dyDescent="0.2">
      <c r="A143" s="42" t="s">
        <v>17</v>
      </c>
      <c r="B143" s="7">
        <v>4.8984890000000005</v>
      </c>
      <c r="C143" s="7">
        <v>2.7707809999999999</v>
      </c>
      <c r="D143" s="11">
        <v>1.5143580000000001</v>
      </c>
      <c r="E143" s="2">
        <v>0.268262</v>
      </c>
      <c r="F143" s="11">
        <v>0.54130999999999996</v>
      </c>
      <c r="G143" s="12">
        <v>0.46297200000000005</v>
      </c>
      <c r="H143" s="11">
        <v>0.669018</v>
      </c>
      <c r="I143" s="11">
        <v>0.29143599999999997</v>
      </c>
      <c r="J143" s="11">
        <v>4.3324999999999995E-2</v>
      </c>
      <c r="L143" s="8"/>
      <c r="M143" s="9" t="s">
        <v>12</v>
      </c>
      <c r="N143" s="10" t="s">
        <v>23</v>
      </c>
      <c r="O143" s="1"/>
      <c r="P143" s="36" t="s">
        <v>46</v>
      </c>
      <c r="R143" s="8"/>
      <c r="S143" s="9" t="s">
        <v>12</v>
      </c>
      <c r="T143" s="10" t="s">
        <v>23</v>
      </c>
      <c r="V143" s="36" t="s">
        <v>46</v>
      </c>
      <c r="X143" s="8"/>
      <c r="Y143" s="9" t="s">
        <v>12</v>
      </c>
      <c r="Z143" s="10" t="s">
        <v>23</v>
      </c>
      <c r="AB143" s="36" t="s">
        <v>46</v>
      </c>
    </row>
    <row r="144" spans="1:28" ht="15" x14ac:dyDescent="0.2">
      <c r="A144" s="42" t="s">
        <v>18</v>
      </c>
      <c r="B144" s="14">
        <v>4.232335</v>
      </c>
      <c r="C144" s="14">
        <v>3.4970059999999998</v>
      </c>
      <c r="D144" s="13">
        <v>2.3317369999999999</v>
      </c>
      <c r="E144" s="2">
        <v>0.313473</v>
      </c>
      <c r="F144" s="13">
        <v>0.53652699999999998</v>
      </c>
      <c r="G144" s="16">
        <v>0.41826299999999994</v>
      </c>
      <c r="H144" s="13">
        <v>0.82515000000000005</v>
      </c>
      <c r="I144" s="11">
        <v>0.29131699999999999</v>
      </c>
      <c r="J144" s="11">
        <v>5.2395000000000004E-2</v>
      </c>
      <c r="L144" s="7" t="s">
        <v>0</v>
      </c>
      <c r="M144" s="24">
        <f>AVERAGE(C139:C144)</f>
        <v>4.2651261666666658</v>
      </c>
      <c r="N144" s="25">
        <f>AVERAGE(C145:C150)</f>
        <v>1.5534513333333333</v>
      </c>
      <c r="O144" s="46"/>
      <c r="P144" s="11" t="s">
        <v>78</v>
      </c>
      <c r="R144" s="7" t="s">
        <v>0</v>
      </c>
      <c r="S144" s="24">
        <f>AVERAGE(F139:F144)</f>
        <v>0.59830050000000001</v>
      </c>
      <c r="T144" s="25">
        <f>AVERAGE(F145:F150)</f>
        <v>0.56685700000000006</v>
      </c>
      <c r="V144" s="11" t="s">
        <v>80</v>
      </c>
      <c r="X144" s="7" t="s">
        <v>0</v>
      </c>
      <c r="Y144" s="24">
        <f>AVERAGE(I139:I144)</f>
        <v>0.34034133333333333</v>
      </c>
      <c r="Z144" s="25">
        <f>AVERAGE(I145:I150)</f>
        <v>0.37661733333333336</v>
      </c>
      <c r="AB144" s="11" t="s">
        <v>70</v>
      </c>
    </row>
    <row r="145" spans="1:28" x14ac:dyDescent="0.2">
      <c r="A145" s="32" t="s">
        <v>2</v>
      </c>
      <c r="B145" s="6">
        <v>6.1914889999999998</v>
      </c>
      <c r="C145" s="9">
        <v>1.8599999999999999</v>
      </c>
      <c r="D145" s="6">
        <v>1.0451060000000001</v>
      </c>
      <c r="E145" s="9">
        <v>0.29702099999999998</v>
      </c>
      <c r="F145" s="6">
        <v>0.58978700000000006</v>
      </c>
      <c r="G145" s="9">
        <v>0.88383</v>
      </c>
      <c r="H145" s="6">
        <v>0.92808500000000005</v>
      </c>
      <c r="I145" s="6">
        <v>0.36382999999999999</v>
      </c>
      <c r="J145" s="6">
        <v>6.2978999999999993E-2</v>
      </c>
      <c r="L145" s="14" t="s">
        <v>1</v>
      </c>
      <c r="M145" s="27">
        <f>STDEV(C139:C144)/SQRT(COUNT(C139:C144))</f>
        <v>0.50375526544129368</v>
      </c>
      <c r="N145" s="28">
        <f>STDEV(C145:C150)/SQRT(COUNT(C145:C150))</f>
        <v>0.16100300922522504</v>
      </c>
      <c r="P145" s="13" t="s">
        <v>60</v>
      </c>
      <c r="R145" s="14" t="s">
        <v>1</v>
      </c>
      <c r="S145" s="27">
        <f>STDEV(F139:F144)/SQRT(COUNT(F139:F144))</f>
        <v>3.583415279287791E-2</v>
      </c>
      <c r="T145" s="28">
        <f>STDEV(F145:F150)/SQRT(COUNT(F145:F150))</f>
        <v>2.8032637313198477E-2</v>
      </c>
      <c r="V145" s="13" t="s">
        <v>63</v>
      </c>
      <c r="X145" s="14" t="s">
        <v>1</v>
      </c>
      <c r="Y145" s="27">
        <f>STDEV(I139:I144)/SQRT(COUNT(I139:I144))</f>
        <v>2.4786375609282783E-2</v>
      </c>
      <c r="Z145" s="28">
        <f>STDEV(I145:I150)/SQRT(COUNT(I145:I150))</f>
        <v>2.2283918458037066E-2</v>
      </c>
      <c r="AB145" s="13" t="s">
        <v>65</v>
      </c>
    </row>
    <row r="146" spans="1:28" x14ac:dyDescent="0.2">
      <c r="A146" s="38" t="s">
        <v>3</v>
      </c>
      <c r="B146" s="11">
        <v>3.9157690000000001</v>
      </c>
      <c r="C146" s="2">
        <v>2.0688459999999997</v>
      </c>
      <c r="D146" s="11">
        <v>1.266154</v>
      </c>
      <c r="E146" s="2">
        <v>0.24269199999999999</v>
      </c>
      <c r="F146" s="11">
        <v>0.49384600000000006</v>
      </c>
      <c r="G146" s="2">
        <v>0.236154</v>
      </c>
      <c r="H146" s="11">
        <v>0.878077</v>
      </c>
      <c r="I146" s="11">
        <v>0.418846</v>
      </c>
      <c r="J146" s="11">
        <v>5.1537999999999994E-2</v>
      </c>
    </row>
    <row r="147" spans="1:28" x14ac:dyDescent="0.2">
      <c r="A147" s="38" t="s">
        <v>4</v>
      </c>
      <c r="B147" s="11">
        <v>4.9949580000000005</v>
      </c>
      <c r="C147" s="2">
        <v>1.6420170000000001</v>
      </c>
      <c r="D147" s="11">
        <v>0.55210099999999995</v>
      </c>
      <c r="E147" s="2">
        <v>0.22226899999999999</v>
      </c>
      <c r="F147" s="11">
        <v>0.69033599999999995</v>
      </c>
      <c r="G147" s="2">
        <v>0.53949599999999998</v>
      </c>
      <c r="H147" s="11">
        <v>0.98655500000000007</v>
      </c>
      <c r="I147" s="11">
        <v>0.44327699999999998</v>
      </c>
      <c r="J147" s="11">
        <v>5.6302999999999992E-2</v>
      </c>
      <c r="L147" s="2" t="s">
        <v>31</v>
      </c>
      <c r="P147" s="2" t="s">
        <v>31</v>
      </c>
      <c r="R147" s="2" t="s">
        <v>101</v>
      </c>
      <c r="V147" s="2" t="s">
        <v>101</v>
      </c>
      <c r="X147" s="2" t="s">
        <v>36</v>
      </c>
      <c r="AB147" s="2" t="s">
        <v>36</v>
      </c>
    </row>
    <row r="148" spans="1:28" x14ac:dyDescent="0.2">
      <c r="A148" s="38" t="s">
        <v>25</v>
      </c>
      <c r="B148" s="11">
        <v>4.4278230000000001</v>
      </c>
      <c r="C148" s="2">
        <v>1.4995970000000001</v>
      </c>
      <c r="D148" s="11">
        <v>1.025806</v>
      </c>
      <c r="E148" s="2">
        <v>0.285887</v>
      </c>
      <c r="F148" s="11">
        <v>0.53387099999999998</v>
      </c>
      <c r="G148" s="2">
        <v>0.26814500000000002</v>
      </c>
      <c r="H148" s="11">
        <v>0.89354800000000012</v>
      </c>
      <c r="I148" s="11">
        <v>0.40040299999999995</v>
      </c>
      <c r="J148" s="11">
        <v>5.6855000000000003E-2</v>
      </c>
      <c r="L148" s="8"/>
      <c r="M148" s="9" t="s">
        <v>12</v>
      </c>
      <c r="N148" s="10" t="s">
        <v>23</v>
      </c>
      <c r="O148" s="1"/>
      <c r="P148" s="36" t="s">
        <v>46</v>
      </c>
      <c r="R148" s="8"/>
      <c r="S148" s="9" t="s">
        <v>12</v>
      </c>
      <c r="T148" s="10" t="s">
        <v>23</v>
      </c>
      <c r="V148" s="36" t="s">
        <v>46</v>
      </c>
      <c r="X148" s="8"/>
      <c r="Y148" s="9" t="s">
        <v>12</v>
      </c>
      <c r="Z148" s="10" t="s">
        <v>23</v>
      </c>
      <c r="AB148" s="36" t="s">
        <v>46</v>
      </c>
    </row>
    <row r="149" spans="1:28" ht="15" x14ac:dyDescent="0.2">
      <c r="A149" s="38" t="s">
        <v>24</v>
      </c>
      <c r="B149" s="11">
        <v>4.2755190000000001</v>
      </c>
      <c r="C149" s="2">
        <v>1.26722</v>
      </c>
      <c r="D149" s="11">
        <v>0.90995899999999996</v>
      </c>
      <c r="E149" s="2">
        <v>0.36638999999999999</v>
      </c>
      <c r="F149" s="11">
        <v>0.56348500000000001</v>
      </c>
      <c r="G149" s="2">
        <v>0.322407</v>
      </c>
      <c r="H149" s="11">
        <v>0.91784199999999994</v>
      </c>
      <c r="I149" s="11">
        <v>0.33610000000000001</v>
      </c>
      <c r="J149" s="11">
        <v>7.8008000000000008E-2</v>
      </c>
      <c r="L149" s="7" t="s">
        <v>0</v>
      </c>
      <c r="M149" s="24">
        <f>AVERAGE(D139:D144)</f>
        <v>2.1283539999999999</v>
      </c>
      <c r="N149" s="25">
        <f>AVERAGE(D145:D150)</f>
        <v>0.86407449999999997</v>
      </c>
      <c r="O149" s="50"/>
      <c r="P149" s="11" t="s">
        <v>79</v>
      </c>
      <c r="R149" s="7" t="s">
        <v>0</v>
      </c>
      <c r="S149" s="24">
        <f>AVERAGE(G139:G144)</f>
        <v>0.42191300000000004</v>
      </c>
      <c r="T149" s="25">
        <f>AVERAGE(G145:G150)</f>
        <v>0.46208483333333333</v>
      </c>
      <c r="V149" s="11" t="s">
        <v>81</v>
      </c>
      <c r="X149" s="7" t="s">
        <v>0</v>
      </c>
      <c r="Y149" s="24">
        <f>AVERAGE(J139:J144)</f>
        <v>5.2881833333333329E-2</v>
      </c>
      <c r="Z149" s="25">
        <f>AVERAGE(J145:J150)</f>
        <v>6.264433333333333E-2</v>
      </c>
      <c r="AB149" s="11" t="s">
        <v>82</v>
      </c>
    </row>
    <row r="150" spans="1:28" x14ac:dyDescent="0.2">
      <c r="A150" s="48" t="s">
        <v>26</v>
      </c>
      <c r="B150" s="13">
        <v>4.7807339999999998</v>
      </c>
      <c r="C150" s="15">
        <v>0.98302800000000001</v>
      </c>
      <c r="D150" s="13">
        <v>0.38532100000000002</v>
      </c>
      <c r="E150" s="15">
        <v>0.33807300000000001</v>
      </c>
      <c r="F150" s="13">
        <v>0.52981699999999998</v>
      </c>
      <c r="G150" s="15">
        <v>0.52247699999999997</v>
      </c>
      <c r="H150" s="13">
        <v>0.9169719999999999</v>
      </c>
      <c r="I150" s="13">
        <v>0.29724800000000001</v>
      </c>
      <c r="J150" s="13">
        <v>7.0182999999999995E-2</v>
      </c>
      <c r="L150" s="14" t="s">
        <v>1</v>
      </c>
      <c r="M150" s="27">
        <f>STDEV(D139:D144)/SQRT(COUNT(D139:D144))</f>
        <v>0.18011910589181473</v>
      </c>
      <c r="N150" s="28">
        <f>STDEV(D145:D150)/SQRT(COUNT(D145:D150))</f>
        <v>0.13530646353241979</v>
      </c>
      <c r="P150" s="13" t="s">
        <v>61</v>
      </c>
      <c r="R150" s="14" t="s">
        <v>1</v>
      </c>
      <c r="S150" s="27">
        <f>STDEV(G139:G144)/SQRT(COUNT(G139:G144))</f>
        <v>2.8843590903353013E-2</v>
      </c>
      <c r="T150" s="28">
        <f>STDEV(G145:G150)/SQRT(COUNT(G145:G150))</f>
        <v>9.9276715238239277E-2</v>
      </c>
      <c r="V150" s="13" t="s">
        <v>64</v>
      </c>
      <c r="X150" s="14" t="s">
        <v>1</v>
      </c>
      <c r="Y150" s="27">
        <f>STDEV(J139:J144)/SQRT(COUNT(J139:J144))</f>
        <v>4.1276696203117478E-3</v>
      </c>
      <c r="Z150" s="28">
        <f>STDEV(J145:J150)/SQRT(COUNT(J145:J150))</f>
        <v>4.0417210827951838E-3</v>
      </c>
      <c r="AB150" s="13" t="s">
        <v>83</v>
      </c>
    </row>
    <row r="152" spans="1:28" x14ac:dyDescent="0.2">
      <c r="B152" s="51"/>
      <c r="C152" s="51"/>
      <c r="D152" s="51"/>
      <c r="E152" s="51"/>
      <c r="F152" s="51"/>
      <c r="G152" s="51"/>
      <c r="H152" s="51"/>
      <c r="I152" s="51"/>
      <c r="J152" s="51"/>
    </row>
    <row r="153" spans="1:28" x14ac:dyDescent="0.2">
      <c r="B153" s="51"/>
      <c r="C153" s="51"/>
      <c r="D153" s="51"/>
      <c r="E153" s="51"/>
      <c r="F153" s="51"/>
      <c r="G153" s="51"/>
      <c r="H153" s="51"/>
      <c r="I153" s="51"/>
      <c r="J153" s="51"/>
      <c r="L153" s="47"/>
    </row>
    <row r="154" spans="1:28" x14ac:dyDescent="0.2">
      <c r="B154" s="51"/>
      <c r="C154" s="51"/>
      <c r="D154" s="51"/>
      <c r="E154" s="51"/>
      <c r="F154" s="51"/>
      <c r="G154" s="51"/>
      <c r="H154" s="51"/>
      <c r="I154" s="51"/>
      <c r="J154" s="51"/>
      <c r="L154" s="1"/>
      <c r="N154" s="52"/>
      <c r="O154" s="52"/>
    </row>
    <row r="155" spans="1:28" x14ac:dyDescent="0.2">
      <c r="B155" s="51"/>
      <c r="C155" s="51"/>
      <c r="D155" s="51"/>
      <c r="E155" s="51"/>
      <c r="F155" s="51"/>
      <c r="G155" s="51"/>
      <c r="H155" s="51"/>
      <c r="I155" s="51"/>
      <c r="J155" s="51"/>
      <c r="N155" s="52"/>
      <c r="O155" s="52"/>
    </row>
    <row r="156" spans="1:28" x14ac:dyDescent="0.2">
      <c r="B156" s="51"/>
      <c r="C156" s="51"/>
      <c r="D156" s="51"/>
      <c r="E156" s="51"/>
      <c r="F156" s="51"/>
      <c r="G156" s="51"/>
      <c r="H156" s="51"/>
      <c r="I156" s="51"/>
      <c r="J156" s="51"/>
      <c r="N156" s="52"/>
      <c r="O156" s="52"/>
    </row>
    <row r="157" spans="1:28" x14ac:dyDescent="0.2">
      <c r="B157" s="51"/>
      <c r="C157" s="51"/>
      <c r="D157" s="51"/>
      <c r="E157" s="51"/>
      <c r="F157" s="51"/>
      <c r="G157" s="51"/>
      <c r="H157" s="51"/>
      <c r="I157" s="51"/>
      <c r="J157" s="51"/>
      <c r="N157" s="52"/>
      <c r="O157" s="52"/>
    </row>
    <row r="158" spans="1:28" x14ac:dyDescent="0.2">
      <c r="B158" s="51"/>
      <c r="C158" s="51"/>
      <c r="D158" s="51"/>
      <c r="E158" s="51"/>
      <c r="F158" s="51"/>
      <c r="G158" s="51"/>
      <c r="H158" s="51"/>
      <c r="I158" s="51"/>
      <c r="J158" s="51"/>
      <c r="N158" s="52"/>
      <c r="O158" s="52"/>
    </row>
    <row r="159" spans="1:28" x14ac:dyDescent="0.2">
      <c r="B159" s="51"/>
      <c r="C159" s="51"/>
      <c r="D159" s="51"/>
      <c r="E159" s="51"/>
      <c r="F159" s="51"/>
      <c r="G159" s="51"/>
      <c r="H159" s="51"/>
      <c r="I159" s="51"/>
      <c r="J159" s="51"/>
      <c r="N159" s="52"/>
      <c r="O159" s="52"/>
    </row>
    <row r="160" spans="1:28" x14ac:dyDescent="0.2">
      <c r="B160" s="51"/>
      <c r="C160" s="51"/>
      <c r="D160" s="51"/>
      <c r="E160" s="51"/>
      <c r="F160" s="51"/>
      <c r="G160" s="51"/>
      <c r="H160" s="51"/>
      <c r="I160" s="51"/>
      <c r="J160" s="51"/>
      <c r="N160" s="52"/>
      <c r="O160" s="52"/>
    </row>
    <row r="161" spans="2:15" x14ac:dyDescent="0.2">
      <c r="B161" s="51"/>
      <c r="C161" s="51"/>
      <c r="D161" s="51"/>
      <c r="E161" s="51"/>
      <c r="F161" s="51"/>
      <c r="G161" s="51"/>
      <c r="H161" s="51"/>
      <c r="I161" s="51"/>
      <c r="J161" s="51"/>
      <c r="N161" s="52"/>
      <c r="O161" s="52"/>
    </row>
    <row r="162" spans="2:15" x14ac:dyDescent="0.2">
      <c r="B162" s="51"/>
      <c r="C162" s="51"/>
      <c r="D162" s="51"/>
      <c r="E162" s="51"/>
      <c r="F162" s="51"/>
      <c r="G162" s="51"/>
      <c r="H162" s="51"/>
      <c r="I162" s="51"/>
      <c r="J162" s="51"/>
      <c r="N162" s="52"/>
      <c r="O162" s="52"/>
    </row>
    <row r="163" spans="2:15" x14ac:dyDescent="0.2">
      <c r="B163" s="51"/>
      <c r="C163" s="51"/>
      <c r="D163" s="51"/>
      <c r="E163" s="51"/>
      <c r="F163" s="51"/>
      <c r="G163" s="51"/>
      <c r="H163" s="51"/>
      <c r="I163" s="51"/>
      <c r="J163" s="51"/>
    </row>
    <row r="164" spans="2:15" x14ac:dyDescent="0.2">
      <c r="B164" s="51"/>
      <c r="C164" s="51"/>
      <c r="D164" s="51"/>
      <c r="E164" s="51"/>
      <c r="F164" s="51"/>
      <c r="G164" s="51"/>
      <c r="H164" s="51"/>
      <c r="I164" s="51"/>
      <c r="J164" s="51"/>
    </row>
  </sheetData>
  <mergeCells count="5">
    <mergeCell ref="B2:AN2"/>
    <mergeCell ref="AO2:CB2"/>
    <mergeCell ref="A35:A36"/>
    <mergeCell ref="B35:C35"/>
    <mergeCell ref="D35:E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Figure2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danica chen</cp:lastModifiedBy>
  <dcterms:created xsi:type="dcterms:W3CDTF">2015-06-05T18:19:34Z</dcterms:created>
  <dcterms:modified xsi:type="dcterms:W3CDTF">2026-07-18T22:16:34Z</dcterms:modified>
</cp:coreProperties>
</file>