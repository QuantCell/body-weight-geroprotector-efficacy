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628"/>
  <workbookPr/>
  <mc:AlternateContent xmlns:mc="http://schemas.openxmlformats.org/markup-compatibility/2006">
    <mc:Choice Requires="x15">
      <x15ac:absPath xmlns:x15ac="http://schemas.microsoft.com/office/spreadsheetml/2010/11/ac" url="/Users/danicachen/Desktop/active projects/GLP-1/ submission/   Feng 2026 source data/"/>
    </mc:Choice>
  </mc:AlternateContent>
  <xr:revisionPtr revIDLastSave="0" documentId="13_ncr:1_{B6DAD193-4A17-6448-B76A-FB8FAEA5537C}" xr6:coauthVersionLast="47" xr6:coauthVersionMax="47" xr10:uidLastSave="{00000000-0000-0000-0000-000000000000}"/>
  <bookViews>
    <workbookView xWindow="0" yWindow="660" windowWidth="25100" windowHeight="16960" tabRatio="838" xr2:uid="{00000000-000D-0000-FFFF-FFFF00000000}"/>
  </bookViews>
  <sheets>
    <sheet name="Figure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N312" i="1" l="1"/>
  <c r="N311" i="1"/>
  <c r="N309" i="1"/>
  <c r="N305" i="1"/>
  <c r="N304" i="1"/>
  <c r="N303" i="1"/>
  <c r="N302" i="1"/>
  <c r="N301" i="1"/>
  <c r="N300" i="1"/>
  <c r="N299" i="1"/>
  <c r="E233" i="1"/>
  <c r="H90" i="1"/>
  <c r="H89" i="1"/>
  <c r="G90" i="1"/>
  <c r="G89" i="1"/>
  <c r="G85" i="1"/>
  <c r="G84" i="1"/>
  <c r="H80" i="1"/>
  <c r="H79" i="1"/>
  <c r="G80" i="1"/>
  <c r="G79" i="1"/>
  <c r="E35" i="1"/>
  <c r="E34" i="1"/>
  <c r="F13" i="1"/>
  <c r="F12" i="1"/>
  <c r="E13" i="1"/>
  <c r="E12" i="1"/>
  <c r="E278" i="1" l="1"/>
  <c r="E234" i="1"/>
  <c r="E212" i="1"/>
  <c r="E211" i="1"/>
  <c r="F212" i="1"/>
  <c r="O310" i="1" l="1"/>
  <c r="O311" i="1"/>
  <c r="O312" i="1"/>
  <c r="O313" i="1"/>
  <c r="O314" i="1"/>
  <c r="O315" i="1"/>
  <c r="O309" i="1"/>
  <c r="N310" i="1"/>
  <c r="N313" i="1"/>
  <c r="N314" i="1"/>
  <c r="N315" i="1"/>
  <c r="O305" i="1"/>
  <c r="O300" i="1"/>
  <c r="O301" i="1"/>
  <c r="O302" i="1"/>
  <c r="O303" i="1"/>
  <c r="O304" i="1"/>
  <c r="O299" i="1"/>
  <c r="E320" i="1"/>
  <c r="F211" i="1" l="1"/>
  <c r="F319" i="1" l="1"/>
  <c r="E319" i="1"/>
  <c r="F320" i="1"/>
  <c r="E277" i="1"/>
  <c r="F278" i="1"/>
  <c r="F277" i="1"/>
  <c r="F256" i="1"/>
  <c r="E256" i="1"/>
  <c r="F255" i="1"/>
  <c r="E255" i="1"/>
  <c r="F234" i="1"/>
  <c r="F233" i="1"/>
  <c r="F190" i="1"/>
  <c r="E190" i="1"/>
  <c r="F189" i="1"/>
  <c r="E189" i="1"/>
  <c r="F167" i="1"/>
  <c r="F168" i="1"/>
  <c r="E168" i="1"/>
  <c r="E167" i="1"/>
  <c r="F146" i="1"/>
  <c r="E146" i="1"/>
  <c r="F145" i="1"/>
  <c r="E145" i="1"/>
  <c r="E123" i="1"/>
  <c r="F124" i="1"/>
  <c r="E124" i="1"/>
  <c r="F123" i="1"/>
  <c r="F101" i="1"/>
  <c r="E101" i="1"/>
  <c r="F102" i="1"/>
  <c r="E102" i="1"/>
  <c r="H84" i="1"/>
  <c r="H85" i="1"/>
  <c r="F56" i="1"/>
  <c r="E57" i="1"/>
  <c r="E56" i="1"/>
  <c r="F57" i="1"/>
  <c r="F35" i="1"/>
  <c r="F34" i="1"/>
</calcChain>
</file>

<file path=xl/sharedStrings.xml><?xml version="1.0" encoding="utf-8"?>
<sst xmlns="http://schemas.openxmlformats.org/spreadsheetml/2006/main" count="467" uniqueCount="90">
  <si>
    <t>Average</t>
  </si>
  <si>
    <t>SEM</t>
  </si>
  <si>
    <t>Sema1</t>
    <phoneticPr fontId="1" type="noConversion"/>
  </si>
  <si>
    <t>Sema2</t>
  </si>
  <si>
    <t>Sema3</t>
  </si>
  <si>
    <t>Sema4</t>
  </si>
  <si>
    <t>Sema5</t>
  </si>
  <si>
    <t>Sema6</t>
  </si>
  <si>
    <t>Sema7</t>
  </si>
  <si>
    <t>Sema8</t>
  </si>
  <si>
    <t>Sema9</t>
  </si>
  <si>
    <t>Sema10</t>
  </si>
  <si>
    <t>Ctrl</t>
    <phoneticPr fontId="1" type="noConversion"/>
  </si>
  <si>
    <t>Ctrl1</t>
    <phoneticPr fontId="1" type="noConversion"/>
  </si>
  <si>
    <t>Ctrl2</t>
  </si>
  <si>
    <t>Ctrl3</t>
  </si>
  <si>
    <t>Ctrl4</t>
  </si>
  <si>
    <t>Ctrl5</t>
  </si>
  <si>
    <t>Ctrl6</t>
  </si>
  <si>
    <t>Ctrl7</t>
  </si>
  <si>
    <t>Ctrl8</t>
  </si>
  <si>
    <t>Ctrl9</t>
  </si>
  <si>
    <t>Ctrl10</t>
  </si>
  <si>
    <t>Sema</t>
    <phoneticPr fontId="1" type="noConversion"/>
  </si>
  <si>
    <t>Total</t>
    <phoneticPr fontId="1" type="noConversion"/>
  </si>
  <si>
    <t>Open</t>
    <phoneticPr fontId="1" type="noConversion"/>
  </si>
  <si>
    <t>Closed</t>
    <phoneticPr fontId="1" type="noConversion"/>
  </si>
  <si>
    <t>Time(min)</t>
    <phoneticPr fontId="1" type="noConversion"/>
  </si>
  <si>
    <t>Average</t>
    <phoneticPr fontId="1" type="noConversion"/>
  </si>
  <si>
    <t>Date(days)</t>
    <phoneticPr fontId="1" type="noConversion"/>
  </si>
  <si>
    <t>Negative binomial regression</t>
  </si>
  <si>
    <t>p=0.0028</t>
    <phoneticPr fontId="1" type="noConversion"/>
  </si>
  <si>
    <t>p=0.0234</t>
    <phoneticPr fontId="1" type="noConversion"/>
  </si>
  <si>
    <t xml:space="preserve"> p = 0.0393 </t>
  </si>
  <si>
    <t>p = 0.0135</t>
  </si>
  <si>
    <t xml:space="preserve">p = 0.2406 </t>
  </si>
  <si>
    <t xml:space="preserve"> p = 0.0231 </t>
  </si>
  <si>
    <t>p=0.0026</t>
    <phoneticPr fontId="1" type="noConversion"/>
  </si>
  <si>
    <t>p=0.0052</t>
    <phoneticPr fontId="1" type="noConversion"/>
  </si>
  <si>
    <t>p=0.0102</t>
    <phoneticPr fontId="1" type="noConversion"/>
  </si>
  <si>
    <t>p=0.0047</t>
    <phoneticPr fontId="1" type="noConversion"/>
  </si>
  <si>
    <t>p=0.0019</t>
    <phoneticPr fontId="1" type="noConversion"/>
  </si>
  <si>
    <t>Mean difference</t>
    <phoneticPr fontId="1" type="noConversion"/>
  </si>
  <si>
    <t>Beta regression</t>
  </si>
  <si>
    <t>Beta regression</t>
    <phoneticPr fontId="1" type="noConversion"/>
  </si>
  <si>
    <t>Mean Difference=6.918</t>
    <phoneticPr fontId="1" type="noConversion"/>
  </si>
  <si>
    <t>Mean Difference=2.325</t>
    <phoneticPr fontId="1" type="noConversion"/>
  </si>
  <si>
    <t xml:space="preserve">β (log link)= 0.3494 </t>
    <phoneticPr fontId="1" type="noConversion"/>
  </si>
  <si>
    <t>β (log link)=  0.6429</t>
    <phoneticPr fontId="1" type="noConversion"/>
  </si>
  <si>
    <t xml:space="preserve">β (log link)= 0.1838 </t>
    <phoneticPr fontId="1" type="noConversion"/>
  </si>
  <si>
    <t>β (logit link)=0.5314</t>
    <phoneticPr fontId="1" type="noConversion"/>
  </si>
  <si>
    <t>Hodges-Lehmann difference=40.33</t>
    <phoneticPr fontId="1" type="noConversion"/>
  </si>
  <si>
    <t>Mean Difference=23.69</t>
    <phoneticPr fontId="1" type="noConversion"/>
  </si>
  <si>
    <t xml:space="preserve">p = 0.0359 </t>
    <phoneticPr fontId="1" type="noConversion"/>
  </si>
  <si>
    <t>β (logit link)= 0.7438</t>
    <phoneticPr fontId="1" type="noConversion"/>
  </si>
  <si>
    <t>Hodges-Lehmann difference=-66.77</t>
    <phoneticPr fontId="1" type="noConversion"/>
  </si>
  <si>
    <t>Mean Difference=20.02</t>
    <phoneticPr fontId="1" type="noConversion"/>
  </si>
  <si>
    <t>Mean Difference=100.8</t>
    <phoneticPr fontId="1" type="noConversion"/>
  </si>
  <si>
    <t>Hodges-Lehmann difference=66.1</t>
  </si>
  <si>
    <t>Mean Difference=-5.226</t>
    <phoneticPr fontId="1" type="noConversion"/>
  </si>
  <si>
    <t>p adj</t>
    <phoneticPr fontId="1" type="noConversion"/>
  </si>
  <si>
    <t>Negative binomial regression</t>
    <phoneticPr fontId="1" type="noConversion"/>
  </si>
  <si>
    <t>p=0.0116</t>
    <phoneticPr fontId="1" type="noConversion"/>
  </si>
  <si>
    <t>Hodges-Lehmann difference=95.05</t>
    <phoneticPr fontId="1" type="noConversion"/>
  </si>
  <si>
    <t>Hodges-Lehmann difference=5.509</t>
    <phoneticPr fontId="1" type="noConversion"/>
  </si>
  <si>
    <t>Log-rank test</t>
    <phoneticPr fontId="1" type="noConversion"/>
  </si>
  <si>
    <t>Figure1a</t>
  </si>
  <si>
    <t>Figure1c</t>
  </si>
  <si>
    <t>Figure1d</t>
  </si>
  <si>
    <t>Figure1e</t>
  </si>
  <si>
    <t>Figure1f</t>
  </si>
  <si>
    <t>Figure1g</t>
  </si>
  <si>
    <t>Figure1h</t>
  </si>
  <si>
    <t>Figure1i</t>
  </si>
  <si>
    <t>Figure1j</t>
  </si>
  <si>
    <t>Figure1k</t>
  </si>
  <si>
    <t>Figure1l</t>
  </si>
  <si>
    <t>Figure1m</t>
  </si>
  <si>
    <t>Figure1n</t>
  </si>
  <si>
    <t>Figure1o</t>
  </si>
  <si>
    <t>Figure1p</t>
  </si>
  <si>
    <t>Figure1q</t>
  </si>
  <si>
    <r>
      <t>p=6.3×10</t>
    </r>
    <r>
      <rPr>
        <vertAlign val="superscript"/>
        <sz val="11"/>
        <rFont val="Arial"/>
        <family val="2"/>
      </rPr>
      <t>-6</t>
    </r>
    <phoneticPr fontId="1" type="noConversion"/>
  </si>
  <si>
    <r>
      <t>p=2.5×10</t>
    </r>
    <r>
      <rPr>
        <vertAlign val="superscript"/>
        <sz val="11"/>
        <rFont val="Arial"/>
        <family val="2"/>
      </rPr>
      <t>-5</t>
    </r>
    <phoneticPr fontId="1" type="noConversion"/>
  </si>
  <si>
    <t>One-sided Student’s t-test</t>
  </si>
  <si>
    <t>One-sided Mann-Whitney U test</t>
  </si>
  <si>
    <t>One-sided Mann-Whitney U test</t>
    <phoneticPr fontId="1" type="noConversion"/>
  </si>
  <si>
    <t>One-sided Welch’s t-test</t>
    <phoneticPr fontId="1" type="noConversion"/>
  </si>
  <si>
    <r>
      <t>p=5.7×10</t>
    </r>
    <r>
      <rPr>
        <vertAlign val="superscript"/>
        <sz val="11"/>
        <rFont val="Arial"/>
        <family val="2"/>
      </rPr>
      <t>-6</t>
    </r>
    <phoneticPr fontId="1" type="noConversion"/>
  </si>
  <si>
    <t xml:space="preserve">Two-way repeated measures ANOVA followed by Sidak-adjusted pairwise comparisons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</si>
</sst>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164" formatCode="_ &quot;¥&quot;* #,##0.00_ ;_ &quot;¥&quot;* \-#,##0.00_ ;_ &quot;¥&quot;* &quot;-&quot;??_ ;_ @_ "/>
    <numFmt numFmtId="165" formatCode="_ * #,##0.00_ ;_ * \-#,##0.00_ ;_ * &quot;-&quot;??_ ;_ @_ "/>
    <numFmt numFmtId="166" formatCode="0_);[Red]\(0\)"/>
    <numFmt numFmtId="167" formatCode="0.00_);[Red]\(0.00\)"/>
    <numFmt numFmtId="168" formatCode="0.000_);[Red]\(0.000\)"/>
    <numFmt numFmtId="169" formatCode="0.0000_);[Red]\(0.0000\)"/>
    <numFmt numFmtId="170" formatCode="0.000"/>
    <numFmt numFmtId="171" formatCode="0.0000"/>
  </numFmts>
  <fonts count="7" x14ac:knownFonts="1">
    <font>
      <sz val="11"/>
      <color theme="1"/>
      <name val="Calibri"/>
      <family val="2"/>
      <scheme val="minor"/>
    </font>
    <font>
      <sz val="9"/>
      <name val="Calibri"/>
      <family val="3"/>
      <charset val="134"/>
      <scheme val="minor"/>
    </font>
    <font>
      <sz val="12"/>
      <color theme="1"/>
      <name val="Calibri"/>
      <family val="2"/>
      <scheme val="minor"/>
    </font>
    <font>
      <sz val="11"/>
      <name val="Arial"/>
      <family val="2"/>
    </font>
    <font>
      <sz val="11"/>
      <color theme="1"/>
      <name val="Calibri"/>
      <family val="2"/>
      <scheme val="minor"/>
    </font>
    <font>
      <sz val="10"/>
      <name val="Arial"/>
      <family val="2"/>
    </font>
    <font>
      <vertAlign val="superscript"/>
      <sz val="11"/>
      <name val="Arial"/>
      <family val="2"/>
    </font>
  </fonts>
  <fills count="2">
    <fill>
      <patternFill patternType="none"/>
    </fill>
    <fill>
      <patternFill patternType="gray125"/>
    </fill>
  </fills>
  <borders count="16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5">
    <xf numFmtId="0" fontId="0" fillId="0" borderId="0"/>
    <xf numFmtId="0" fontId="2" fillId="0" borderId="0"/>
    <xf numFmtId="0" fontId="2" fillId="0" borderId="0"/>
    <xf numFmtId="164" fontId="4" fillId="0" borderId="0" applyFont="0" applyFill="0" applyBorder="0" applyAlignment="0" applyProtection="0">
      <alignment vertical="center"/>
    </xf>
    <xf numFmtId="165" fontId="4" fillId="0" borderId="0" applyFont="0" applyFill="0" applyBorder="0" applyAlignment="0" applyProtection="0">
      <alignment vertical="center"/>
    </xf>
  </cellStyleXfs>
  <cellXfs count="85">
    <xf numFmtId="0" fontId="0" fillId="0" borderId="0" xfId="0"/>
    <xf numFmtId="166" fontId="3" fillId="0" borderId="10" xfId="1" applyNumberFormat="1" applyFont="1" applyBorder="1" applyAlignment="1">
      <alignment horizontal="center" vertical="center"/>
    </xf>
    <xf numFmtId="166" fontId="3" fillId="0" borderId="10" xfId="0" applyNumberFormat="1" applyFont="1" applyBorder="1" applyAlignment="1">
      <alignment horizontal="center" vertical="center"/>
    </xf>
    <xf numFmtId="166" fontId="3" fillId="0" borderId="11" xfId="1" applyNumberFormat="1" applyFont="1" applyBorder="1" applyAlignment="1">
      <alignment horizontal="center" vertical="center"/>
    </xf>
    <xf numFmtId="166" fontId="3" fillId="0" borderId="11" xfId="0" applyNumberFormat="1" applyFont="1" applyBorder="1" applyAlignment="1">
      <alignment horizontal="center" vertical="center"/>
    </xf>
    <xf numFmtId="166" fontId="3" fillId="0" borderId="12" xfId="1" applyNumberFormat="1" applyFont="1" applyBorder="1" applyAlignment="1">
      <alignment horizontal="center" vertical="center"/>
    </xf>
    <xf numFmtId="167" fontId="3" fillId="0" borderId="10" xfId="1" applyNumberFormat="1" applyFont="1" applyBorder="1" applyAlignment="1">
      <alignment horizontal="center" vertical="center"/>
    </xf>
    <xf numFmtId="167" fontId="3" fillId="0" borderId="11" xfId="1" applyNumberFormat="1" applyFont="1" applyBorder="1" applyAlignment="1">
      <alignment horizontal="center" vertical="center"/>
    </xf>
    <xf numFmtId="167" fontId="3" fillId="0" borderId="11" xfId="0" applyNumberFormat="1" applyFont="1" applyBorder="1" applyAlignment="1">
      <alignment horizontal="center" vertical="center"/>
    </xf>
    <xf numFmtId="167" fontId="3" fillId="0" borderId="12" xfId="0" applyNumberFormat="1" applyFont="1" applyBorder="1" applyAlignment="1">
      <alignment horizontal="center" vertical="center"/>
    </xf>
    <xf numFmtId="167" fontId="3" fillId="0" borderId="12" xfId="1" applyNumberFormat="1" applyFont="1" applyBorder="1" applyAlignment="1">
      <alignment horizontal="center" vertical="center"/>
    </xf>
    <xf numFmtId="167" fontId="3" fillId="0" borderId="0" xfId="0" applyNumberFormat="1" applyFont="1" applyAlignment="1">
      <alignment horizontal="center" vertical="center"/>
    </xf>
    <xf numFmtId="167" fontId="3" fillId="0" borderId="0" xfId="1" applyNumberFormat="1" applyFont="1" applyAlignment="1">
      <alignment horizontal="center" vertical="center"/>
    </xf>
    <xf numFmtId="167" fontId="3" fillId="0" borderId="4" xfId="0" applyNumberFormat="1" applyFont="1" applyBorder="1" applyAlignment="1">
      <alignment horizontal="center" vertical="center"/>
    </xf>
    <xf numFmtId="167" fontId="3" fillId="0" borderId="6" xfId="0" applyNumberFormat="1" applyFont="1" applyBorder="1" applyAlignment="1">
      <alignment horizontal="center" vertical="center"/>
    </xf>
    <xf numFmtId="167" fontId="3" fillId="0" borderId="10" xfId="0" applyNumberFormat="1" applyFont="1" applyBorder="1" applyAlignment="1">
      <alignment horizontal="center" vertical="center"/>
    </xf>
    <xf numFmtId="167" fontId="3" fillId="0" borderId="1" xfId="0" applyNumberFormat="1" applyFont="1" applyBorder="1" applyAlignment="1">
      <alignment horizontal="center" vertical="center"/>
    </xf>
    <xf numFmtId="167" fontId="3" fillId="0" borderId="2" xfId="0" applyNumberFormat="1" applyFont="1" applyBorder="1" applyAlignment="1">
      <alignment horizontal="center" vertical="center"/>
    </xf>
    <xf numFmtId="167" fontId="3" fillId="0" borderId="3" xfId="0" applyNumberFormat="1" applyFont="1" applyBorder="1" applyAlignment="1">
      <alignment horizontal="center" vertical="center"/>
    </xf>
    <xf numFmtId="167" fontId="3" fillId="0" borderId="5" xfId="0" applyNumberFormat="1" applyFont="1" applyBorder="1" applyAlignment="1">
      <alignment horizontal="center" vertical="center"/>
    </xf>
    <xf numFmtId="167" fontId="3" fillId="0" borderId="7" xfId="0" applyNumberFormat="1" applyFont="1" applyBorder="1" applyAlignment="1">
      <alignment horizontal="center" vertical="center"/>
    </xf>
    <xf numFmtId="167" fontId="3" fillId="0" borderId="8" xfId="0" applyNumberFormat="1" applyFont="1" applyBorder="1" applyAlignment="1">
      <alignment horizontal="center" vertical="center"/>
    </xf>
    <xf numFmtId="167" fontId="3" fillId="0" borderId="1" xfId="1" applyNumberFormat="1" applyFont="1" applyBorder="1" applyAlignment="1">
      <alignment horizontal="center" vertical="center"/>
    </xf>
    <xf numFmtId="167" fontId="5" fillId="0" borderId="0" xfId="0" applyNumberFormat="1" applyFont="1"/>
    <xf numFmtId="167" fontId="3" fillId="0" borderId="3" xfId="1" applyNumberFormat="1" applyFont="1" applyBorder="1" applyAlignment="1">
      <alignment horizontal="center" vertical="center"/>
    </xf>
    <xf numFmtId="167" fontId="3" fillId="0" borderId="5" xfId="1" applyNumberFormat="1" applyFont="1" applyBorder="1" applyAlignment="1">
      <alignment horizontal="center" vertical="center"/>
    </xf>
    <xf numFmtId="167" fontId="3" fillId="0" borderId="9" xfId="1" applyNumberFormat="1" applyFont="1" applyBorder="1" applyAlignment="1">
      <alignment horizontal="center" vertical="center"/>
    </xf>
    <xf numFmtId="167" fontId="3" fillId="0" borderId="9" xfId="0" applyNumberFormat="1" applyFont="1" applyBorder="1" applyAlignment="1">
      <alignment horizontal="center" vertical="center"/>
    </xf>
    <xf numFmtId="167" fontId="3" fillId="0" borderId="11" xfId="0" applyNumberFormat="1" applyFont="1" applyBorder="1" applyAlignment="1">
      <alignment horizontal="center" vertical="center" wrapText="1"/>
    </xf>
    <xf numFmtId="167" fontId="3" fillId="0" borderId="0" xfId="0" applyNumberFormat="1" applyFont="1" applyAlignment="1">
      <alignment horizontal="center" vertical="center" wrapText="1"/>
    </xf>
    <xf numFmtId="167" fontId="3" fillId="0" borderId="1" xfId="0" applyNumberFormat="1" applyFont="1" applyBorder="1" applyAlignment="1">
      <alignment horizontal="left" vertical="center"/>
    </xf>
    <xf numFmtId="167" fontId="3" fillId="0" borderId="4" xfId="0" applyNumberFormat="1" applyFont="1" applyBorder="1" applyAlignment="1">
      <alignment horizontal="left" vertical="center"/>
    </xf>
    <xf numFmtId="169" fontId="3" fillId="0" borderId="0" xfId="0" applyNumberFormat="1" applyFont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3" fillId="0" borderId="7" xfId="0" applyFont="1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3" fillId="0" borderId="5" xfId="0" applyFont="1" applyBorder="1" applyAlignment="1">
      <alignment horizontal="center" vertical="center"/>
    </xf>
    <xf numFmtId="0" fontId="3" fillId="0" borderId="8" xfId="0" applyFont="1" applyBorder="1" applyAlignment="1">
      <alignment horizontal="center" vertical="center"/>
    </xf>
    <xf numFmtId="0" fontId="3" fillId="0" borderId="6" xfId="0" applyFont="1" applyBorder="1" applyAlignment="1">
      <alignment horizontal="center" vertical="center"/>
    </xf>
    <xf numFmtId="0" fontId="3" fillId="0" borderId="2" xfId="1" applyFont="1" applyBorder="1" applyAlignment="1">
      <alignment horizontal="center" vertical="center"/>
    </xf>
    <xf numFmtId="0" fontId="3" fillId="0" borderId="4" xfId="1" applyFont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3" fillId="0" borderId="6" xfId="1" applyFont="1" applyBorder="1" applyAlignment="1">
      <alignment horizontal="center" vertical="center"/>
    </xf>
    <xf numFmtId="170" fontId="3" fillId="0" borderId="2" xfId="1" applyNumberFormat="1" applyFont="1" applyBorder="1" applyAlignment="1">
      <alignment horizontal="center" vertical="center"/>
    </xf>
    <xf numFmtId="170" fontId="3" fillId="0" borderId="4" xfId="1" applyNumberFormat="1" applyFont="1" applyBorder="1" applyAlignment="1">
      <alignment horizontal="center" vertical="center"/>
    </xf>
    <xf numFmtId="170" fontId="3" fillId="0" borderId="4" xfId="0" applyNumberFormat="1" applyFont="1" applyBorder="1" applyAlignment="1">
      <alignment horizontal="center" vertical="center"/>
    </xf>
    <xf numFmtId="170" fontId="3" fillId="0" borderId="6" xfId="0" applyNumberFormat="1" applyFont="1" applyBorder="1" applyAlignment="1">
      <alignment horizontal="center" vertical="center"/>
    </xf>
    <xf numFmtId="170" fontId="3" fillId="0" borderId="6" xfId="1" applyNumberFormat="1" applyFont="1" applyBorder="1" applyAlignment="1">
      <alignment horizontal="center" vertical="center"/>
    </xf>
    <xf numFmtId="168" fontId="3" fillId="0" borderId="2" xfId="1" applyNumberFormat="1" applyFont="1" applyBorder="1" applyAlignment="1">
      <alignment horizontal="center" vertical="center"/>
    </xf>
    <xf numFmtId="168" fontId="3" fillId="0" borderId="4" xfId="1" applyNumberFormat="1" applyFont="1" applyBorder="1" applyAlignment="1">
      <alignment horizontal="center" vertical="center"/>
    </xf>
    <xf numFmtId="168" fontId="3" fillId="0" borderId="4" xfId="0" applyNumberFormat="1" applyFont="1" applyBorder="1" applyAlignment="1">
      <alignment horizontal="center" vertical="center"/>
    </xf>
    <xf numFmtId="168" fontId="3" fillId="0" borderId="6" xfId="0" applyNumberFormat="1" applyFont="1" applyBorder="1" applyAlignment="1">
      <alignment horizontal="center" vertical="center"/>
    </xf>
    <xf numFmtId="168" fontId="3" fillId="0" borderId="6" xfId="1" applyNumberFormat="1" applyFont="1" applyBorder="1" applyAlignment="1">
      <alignment horizontal="center" vertical="center"/>
    </xf>
    <xf numFmtId="0" fontId="3" fillId="0" borderId="10" xfId="1" applyFont="1" applyBorder="1" applyAlignment="1">
      <alignment horizontal="center" vertical="center"/>
    </xf>
    <xf numFmtId="0" fontId="3" fillId="0" borderId="10" xfId="0" applyFont="1" applyBorder="1" applyAlignment="1">
      <alignment horizontal="center" vertical="center"/>
    </xf>
    <xf numFmtId="0" fontId="3" fillId="0" borderId="11" xfId="1" applyFont="1" applyBorder="1" applyAlignment="1">
      <alignment horizontal="center" vertical="center"/>
    </xf>
    <xf numFmtId="0" fontId="3" fillId="0" borderId="11" xfId="0" applyFont="1" applyBorder="1" applyAlignment="1">
      <alignment horizontal="center" vertical="center"/>
    </xf>
    <xf numFmtId="0" fontId="3" fillId="0" borderId="12" xfId="1" applyFont="1" applyBorder="1" applyAlignment="1">
      <alignment horizontal="center" vertical="center"/>
    </xf>
    <xf numFmtId="0" fontId="3" fillId="0" borderId="12" xfId="0" applyFont="1" applyBorder="1" applyAlignment="1">
      <alignment horizontal="center" vertical="center"/>
    </xf>
    <xf numFmtId="170" fontId="3" fillId="0" borderId="11" xfId="1" applyNumberFormat="1" applyFont="1" applyBorder="1" applyAlignment="1">
      <alignment horizontal="center" vertical="center"/>
    </xf>
    <xf numFmtId="170" fontId="3" fillId="0" borderId="11" xfId="0" applyNumberFormat="1" applyFont="1" applyBorder="1" applyAlignment="1">
      <alignment horizontal="center" vertical="center"/>
    </xf>
    <xf numFmtId="170" fontId="3" fillId="0" borderId="12" xfId="0" applyNumberFormat="1" applyFont="1" applyBorder="1" applyAlignment="1">
      <alignment horizontal="center" vertical="center"/>
    </xf>
    <xf numFmtId="169" fontId="3" fillId="0" borderId="0" xfId="1" applyNumberFormat="1" applyFont="1" applyAlignment="1">
      <alignment horizontal="center" vertical="center"/>
    </xf>
    <xf numFmtId="171" fontId="3" fillId="0" borderId="10" xfId="1" applyNumberFormat="1" applyFont="1" applyBorder="1" applyAlignment="1">
      <alignment horizontal="center" vertical="center"/>
    </xf>
    <xf numFmtId="171" fontId="3" fillId="0" borderId="11" xfId="1" applyNumberFormat="1" applyFont="1" applyBorder="1" applyAlignment="1">
      <alignment horizontal="center" vertical="center"/>
    </xf>
    <xf numFmtId="171" fontId="3" fillId="0" borderId="11" xfId="0" applyNumberFormat="1" applyFont="1" applyBorder="1" applyAlignment="1">
      <alignment horizontal="center" vertical="center"/>
    </xf>
    <xf numFmtId="171" fontId="3" fillId="0" borderId="12" xfId="0" applyNumberFormat="1" applyFont="1" applyBorder="1" applyAlignment="1">
      <alignment horizontal="center" vertical="center"/>
    </xf>
    <xf numFmtId="171" fontId="3" fillId="0" borderId="12" xfId="1" applyNumberFormat="1" applyFont="1" applyBorder="1" applyAlignment="1">
      <alignment horizontal="center" vertical="center"/>
    </xf>
    <xf numFmtId="170" fontId="3" fillId="0" borderId="10" xfId="0" applyNumberFormat="1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169" fontId="3" fillId="0" borderId="10" xfId="0" applyNumberFormat="1" applyFont="1" applyBorder="1" applyAlignment="1">
      <alignment horizontal="center" vertical="center"/>
    </xf>
    <xf numFmtId="169" fontId="3" fillId="0" borderId="11" xfId="0" applyNumberFormat="1" applyFont="1" applyBorder="1" applyAlignment="1">
      <alignment horizontal="center" vertical="center"/>
    </xf>
    <xf numFmtId="169" fontId="3" fillId="0" borderId="12" xfId="0" applyNumberFormat="1" applyFont="1" applyBorder="1" applyAlignment="1">
      <alignment horizontal="center" vertical="center"/>
    </xf>
    <xf numFmtId="167" fontId="3" fillId="0" borderId="7" xfId="0" applyNumberFormat="1" applyFont="1" applyBorder="1" applyAlignment="1">
      <alignment horizontal="center" vertical="center"/>
    </xf>
    <xf numFmtId="167" fontId="3" fillId="0" borderId="2" xfId="0" applyNumberFormat="1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3" fillId="0" borderId="7" xfId="0" applyFont="1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167" fontId="3" fillId="0" borderId="13" xfId="0" applyNumberFormat="1" applyFont="1" applyBorder="1" applyAlignment="1">
      <alignment horizontal="center" vertical="center"/>
    </xf>
    <xf numFmtId="167" fontId="3" fillId="0" borderId="15" xfId="0" applyNumberFormat="1" applyFont="1" applyBorder="1" applyAlignment="1">
      <alignment horizontal="center" vertical="center"/>
    </xf>
    <xf numFmtId="167" fontId="3" fillId="0" borderId="14" xfId="0" applyNumberFormat="1" applyFont="1" applyBorder="1" applyAlignment="1">
      <alignment horizontal="center" vertical="center"/>
    </xf>
    <xf numFmtId="0" fontId="3" fillId="0" borderId="13" xfId="0" applyFont="1" applyBorder="1" applyAlignment="1">
      <alignment horizontal="center" vertical="center"/>
    </xf>
    <xf numFmtId="0" fontId="3" fillId="0" borderId="15" xfId="0" applyFont="1" applyBorder="1" applyAlignment="1">
      <alignment horizontal="center" vertical="center"/>
    </xf>
    <xf numFmtId="0" fontId="3" fillId="0" borderId="14" xfId="0" applyFont="1" applyBorder="1" applyAlignment="1">
      <alignment horizontal="center" vertical="center"/>
    </xf>
  </cellXfs>
  <cellStyles count="5">
    <cellStyle name="Normal" xfId="0" builtinId="0"/>
    <cellStyle name="千位分隔 2" xfId="4" xr:uid="{3EB854CE-6B6F-45C9-9F5F-74D875B9053D}"/>
    <cellStyle name="常规 2" xfId="1" xr:uid="{B8A529DF-6BD3-4395-9B0E-F98EE53A3D4E}"/>
    <cellStyle name="標準 2" xfId="2" xr:uid="{202538EC-8F5E-444A-9E51-72A021ED67B3}"/>
    <cellStyle name="货币 2" xfId="3" xr:uid="{46C873E3-22F4-474F-8D44-9E5F6EF65B76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O337"/>
  <sheetViews>
    <sheetView tabSelected="1" topLeftCell="A313" zoomScale="164" zoomScaleNormal="164" workbookViewId="0">
      <selection activeCell="H318" sqref="H318"/>
    </sheetView>
  </sheetViews>
  <sheetFormatPr baseColWidth="10" defaultColWidth="8.6640625" defaultRowHeight="14" x14ac:dyDescent="0.2"/>
  <cols>
    <col min="1" max="1" width="11.1640625" style="11" customWidth="1"/>
    <col min="2" max="2" width="10.83203125" style="11" customWidth="1"/>
    <col min="3" max="3" width="9.6640625" style="11" customWidth="1"/>
    <col min="4" max="4" width="8.6640625" style="11" customWidth="1"/>
    <col min="5" max="5" width="10.6640625" style="11" customWidth="1"/>
    <col min="6" max="6" width="10.5" style="11" customWidth="1"/>
    <col min="7" max="7" width="8.5" style="11" customWidth="1"/>
    <col min="8" max="8" width="23.5" style="11" customWidth="1"/>
    <col min="9" max="9" width="8" style="11" customWidth="1"/>
    <col min="10" max="10" width="22.5" style="11" customWidth="1"/>
    <col min="11" max="11" width="8.6640625" style="11" bestFit="1" customWidth="1"/>
    <col min="12" max="12" width="8.6640625" style="11"/>
    <col min="13" max="13" width="10.1640625" style="11" customWidth="1"/>
    <col min="14" max="14" width="14.6640625" style="11" customWidth="1"/>
    <col min="15" max="15" width="9.6640625" style="11" bestFit="1" customWidth="1"/>
    <col min="16" max="16" width="8.6640625" style="11"/>
    <col min="17" max="17" width="12.5" style="11" customWidth="1"/>
    <col min="18" max="18" width="18.83203125" style="11" customWidth="1"/>
    <col min="19" max="19" width="19.6640625" style="11" customWidth="1"/>
    <col min="20" max="16384" width="8.6640625" style="11"/>
  </cols>
  <sheetData>
    <row r="1" spans="1:41" x14ac:dyDescent="0.2">
      <c r="A1" s="12" t="s">
        <v>66</v>
      </c>
      <c r="B1" s="11" t="s">
        <v>29</v>
      </c>
    </row>
    <row r="2" spans="1:41" s="36" customFormat="1" x14ac:dyDescent="0.2">
      <c r="A2" s="33" t="s">
        <v>12</v>
      </c>
      <c r="B2" s="34">
        <v>649</v>
      </c>
      <c r="C2" s="34">
        <v>656</v>
      </c>
      <c r="D2" s="34">
        <v>681</v>
      </c>
      <c r="E2" s="34">
        <v>687</v>
      </c>
      <c r="F2" s="34">
        <v>695</v>
      </c>
      <c r="G2" s="34">
        <v>695</v>
      </c>
      <c r="H2" s="34">
        <v>717</v>
      </c>
      <c r="I2" s="34">
        <v>728</v>
      </c>
      <c r="J2" s="34">
        <v>736</v>
      </c>
      <c r="K2" s="34">
        <v>742</v>
      </c>
      <c r="L2" s="34">
        <v>742</v>
      </c>
      <c r="M2" s="34">
        <v>762</v>
      </c>
      <c r="N2" s="34">
        <v>791</v>
      </c>
      <c r="O2" s="34">
        <v>800</v>
      </c>
      <c r="P2" s="34">
        <v>804</v>
      </c>
      <c r="Q2" s="34">
        <v>806</v>
      </c>
      <c r="R2" s="34">
        <v>811</v>
      </c>
      <c r="S2" s="34">
        <v>815</v>
      </c>
      <c r="T2" s="34">
        <v>828</v>
      </c>
      <c r="U2" s="34">
        <v>863</v>
      </c>
      <c r="V2" s="34">
        <v>629</v>
      </c>
      <c r="W2" s="34">
        <v>659</v>
      </c>
      <c r="X2" s="34">
        <v>664</v>
      </c>
      <c r="Y2" s="34">
        <v>699</v>
      </c>
      <c r="Z2" s="34">
        <v>718</v>
      </c>
      <c r="AA2" s="34">
        <v>722</v>
      </c>
      <c r="AB2" s="34">
        <v>728</v>
      </c>
      <c r="AC2" s="34">
        <v>733</v>
      </c>
      <c r="AD2" s="34">
        <v>739</v>
      </c>
      <c r="AE2" s="34">
        <v>742</v>
      </c>
      <c r="AF2" s="34">
        <v>749</v>
      </c>
      <c r="AG2" s="34">
        <v>749</v>
      </c>
      <c r="AH2" s="34">
        <v>756</v>
      </c>
      <c r="AI2" s="34">
        <v>767</v>
      </c>
      <c r="AJ2" s="34">
        <v>800</v>
      </c>
      <c r="AK2" s="34">
        <v>832</v>
      </c>
      <c r="AL2" s="34">
        <v>839</v>
      </c>
      <c r="AM2" s="34">
        <v>852</v>
      </c>
      <c r="AN2" s="34">
        <v>884</v>
      </c>
      <c r="AO2" s="35"/>
    </row>
    <row r="3" spans="1:41" s="36" customFormat="1" x14ac:dyDescent="0.2">
      <c r="A3" s="37" t="s">
        <v>23</v>
      </c>
      <c r="B3" s="38">
        <v>647</v>
      </c>
      <c r="C3" s="38">
        <v>664</v>
      </c>
      <c r="D3" s="38">
        <v>709</v>
      </c>
      <c r="E3" s="38">
        <v>741</v>
      </c>
      <c r="F3" s="38">
        <v>772</v>
      </c>
      <c r="G3" s="38">
        <v>787</v>
      </c>
      <c r="H3" s="38">
        <v>798</v>
      </c>
      <c r="I3" s="38">
        <v>805</v>
      </c>
      <c r="J3" s="38">
        <v>811</v>
      </c>
      <c r="K3" s="38">
        <v>813</v>
      </c>
      <c r="L3" s="38">
        <v>824</v>
      </c>
      <c r="M3" s="38">
        <v>833</v>
      </c>
      <c r="N3" s="38">
        <v>838</v>
      </c>
      <c r="O3" s="38">
        <v>851</v>
      </c>
      <c r="P3" s="38">
        <v>852</v>
      </c>
      <c r="Q3" s="38">
        <v>863</v>
      </c>
      <c r="R3" s="38">
        <v>875</v>
      </c>
      <c r="S3" s="38">
        <v>881</v>
      </c>
      <c r="T3" s="38">
        <v>891</v>
      </c>
      <c r="U3" s="38">
        <v>906</v>
      </c>
      <c r="V3" s="38">
        <v>921</v>
      </c>
      <c r="W3" s="38">
        <v>698</v>
      </c>
      <c r="X3" s="38">
        <v>707</v>
      </c>
      <c r="Y3" s="38">
        <v>718</v>
      </c>
      <c r="Z3" s="38">
        <v>727</v>
      </c>
      <c r="AA3" s="38">
        <v>747</v>
      </c>
      <c r="AB3" s="38">
        <v>768</v>
      </c>
      <c r="AC3" s="38">
        <v>792</v>
      </c>
      <c r="AD3" s="38">
        <v>796</v>
      </c>
      <c r="AE3" s="38">
        <v>835</v>
      </c>
      <c r="AF3" s="38">
        <v>865</v>
      </c>
      <c r="AG3" s="38">
        <v>863</v>
      </c>
      <c r="AH3" s="38">
        <v>872</v>
      </c>
      <c r="AI3" s="38">
        <v>884</v>
      </c>
      <c r="AJ3" s="38">
        <v>894</v>
      </c>
      <c r="AK3" s="38">
        <v>906</v>
      </c>
      <c r="AL3" s="38">
        <v>914</v>
      </c>
      <c r="AM3" s="38">
        <v>918</v>
      </c>
      <c r="AN3" s="38">
        <v>920</v>
      </c>
      <c r="AO3" s="39">
        <v>924</v>
      </c>
    </row>
    <row r="5" spans="1:41" x14ac:dyDescent="0.2">
      <c r="H5" s="12" t="s">
        <v>66</v>
      </c>
    </row>
    <row r="6" spans="1:41" x14ac:dyDescent="0.2">
      <c r="H6" s="15" t="s">
        <v>65</v>
      </c>
    </row>
    <row r="7" spans="1:41" ht="15" x14ac:dyDescent="0.2">
      <c r="H7" s="9" t="s">
        <v>88</v>
      </c>
    </row>
    <row r="10" spans="1:41" x14ac:dyDescent="0.2">
      <c r="A10" s="12" t="s">
        <v>67</v>
      </c>
      <c r="B10" s="12"/>
      <c r="C10" s="12"/>
      <c r="D10" s="12" t="s">
        <v>67</v>
      </c>
      <c r="E10" s="12"/>
      <c r="F10" s="12"/>
      <c r="G10" s="12"/>
      <c r="H10" s="12" t="s">
        <v>67</v>
      </c>
    </row>
    <row r="11" spans="1:41" x14ac:dyDescent="0.15">
      <c r="A11" s="22" t="s">
        <v>13</v>
      </c>
      <c r="B11" s="44">
        <v>15.2875</v>
      </c>
      <c r="C11" s="23"/>
      <c r="D11" s="16"/>
      <c r="E11" s="20" t="s">
        <v>12</v>
      </c>
      <c r="F11" s="17" t="s">
        <v>23</v>
      </c>
      <c r="H11" s="15" t="s">
        <v>84</v>
      </c>
    </row>
    <row r="12" spans="1:41" x14ac:dyDescent="0.15">
      <c r="A12" s="24" t="s">
        <v>14</v>
      </c>
      <c r="B12" s="45">
        <v>5.4828400000000004</v>
      </c>
      <c r="C12" s="23"/>
      <c r="D12" s="18" t="s">
        <v>0</v>
      </c>
      <c r="E12" s="11">
        <f>AVERAGE(B11:B20)</f>
        <v>13.809950000000001</v>
      </c>
      <c r="F12" s="13">
        <f>AVERAGE(B21:B30)</f>
        <v>20.727629999999998</v>
      </c>
      <c r="H12" s="8" t="s">
        <v>31</v>
      </c>
    </row>
    <row r="13" spans="1:41" x14ac:dyDescent="0.15">
      <c r="A13" s="24" t="s">
        <v>15</v>
      </c>
      <c r="B13" s="45">
        <v>14.2357</v>
      </c>
      <c r="C13" s="23"/>
      <c r="D13" s="19" t="s">
        <v>1</v>
      </c>
      <c r="E13" s="21">
        <f>STDEV(B11:B20)/SQRT(COUNT(B11:B20))</f>
        <v>1.2507301096568431</v>
      </c>
      <c r="F13" s="14">
        <f>STDEV(B21:B30)/SQRT(COUNT(B21:B30))</f>
        <v>1.8146852797263677</v>
      </c>
      <c r="H13" s="9" t="s">
        <v>45</v>
      </c>
    </row>
    <row r="14" spans="1:41" x14ac:dyDescent="0.15">
      <c r="A14" s="24" t="s">
        <v>16</v>
      </c>
      <c r="B14" s="45">
        <v>17.284500000000001</v>
      </c>
      <c r="C14" s="23"/>
      <c r="D14" s="12"/>
      <c r="E14" s="12"/>
      <c r="F14" s="12"/>
      <c r="G14" s="12"/>
    </row>
    <row r="15" spans="1:41" x14ac:dyDescent="0.15">
      <c r="A15" s="24" t="s">
        <v>17</v>
      </c>
      <c r="B15" s="45">
        <v>12.2964</v>
      </c>
      <c r="C15" s="23"/>
      <c r="D15" s="12"/>
      <c r="E15" s="12"/>
      <c r="F15" s="12"/>
      <c r="G15" s="12"/>
    </row>
    <row r="16" spans="1:41" x14ac:dyDescent="0.15">
      <c r="A16" s="24" t="s">
        <v>18</v>
      </c>
      <c r="B16" s="45">
        <v>19.041899999999998</v>
      </c>
      <c r="C16" s="23"/>
    </row>
    <row r="17" spans="1:8" x14ac:dyDescent="0.15">
      <c r="A17" s="24" t="s">
        <v>19</v>
      </c>
      <c r="B17" s="46">
        <v>13.2552</v>
      </c>
      <c r="C17" s="23"/>
      <c r="F17" s="12"/>
      <c r="G17" s="12"/>
    </row>
    <row r="18" spans="1:8" x14ac:dyDescent="0.15">
      <c r="A18" s="24" t="s">
        <v>20</v>
      </c>
      <c r="B18" s="46">
        <v>14.3849</v>
      </c>
      <c r="C18" s="23"/>
      <c r="F18" s="12"/>
      <c r="G18" s="12"/>
    </row>
    <row r="19" spans="1:8" x14ac:dyDescent="0.15">
      <c r="A19" s="24" t="s">
        <v>21</v>
      </c>
      <c r="B19" s="46">
        <v>9.7822600000000008</v>
      </c>
      <c r="C19" s="23"/>
      <c r="F19" s="12"/>
      <c r="G19" s="12"/>
    </row>
    <row r="20" spans="1:8" x14ac:dyDescent="0.15">
      <c r="A20" s="25" t="s">
        <v>22</v>
      </c>
      <c r="B20" s="47">
        <v>17.048300000000001</v>
      </c>
      <c r="C20" s="23"/>
      <c r="F20" s="12"/>
      <c r="G20" s="12"/>
    </row>
    <row r="21" spans="1:8" x14ac:dyDescent="0.15">
      <c r="A21" s="24" t="s">
        <v>2</v>
      </c>
      <c r="B21" s="45">
        <v>31.5137</v>
      </c>
      <c r="C21" s="23"/>
      <c r="F21" s="12"/>
      <c r="G21" s="12"/>
    </row>
    <row r="22" spans="1:8" x14ac:dyDescent="0.15">
      <c r="A22" s="24" t="s">
        <v>3</v>
      </c>
      <c r="B22" s="45">
        <v>21.368400000000001</v>
      </c>
      <c r="C22" s="23"/>
      <c r="F22" s="12"/>
      <c r="G22" s="12"/>
    </row>
    <row r="23" spans="1:8" x14ac:dyDescent="0.15">
      <c r="A23" s="24" t="s">
        <v>4</v>
      </c>
      <c r="B23" s="45">
        <v>25.455100000000002</v>
      </c>
      <c r="C23" s="23"/>
    </row>
    <row r="24" spans="1:8" x14ac:dyDescent="0.15">
      <c r="A24" s="24" t="s">
        <v>5</v>
      </c>
      <c r="B24" s="45">
        <v>16.0825</v>
      </c>
      <c r="C24" s="23"/>
    </row>
    <row r="25" spans="1:8" x14ac:dyDescent="0.15">
      <c r="A25" s="24" t="s">
        <v>6</v>
      </c>
      <c r="B25" s="46">
        <v>17.769200000000001</v>
      </c>
      <c r="C25" s="23"/>
    </row>
    <row r="26" spans="1:8" x14ac:dyDescent="0.15">
      <c r="A26" s="24" t="s">
        <v>7</v>
      </c>
      <c r="B26" s="46">
        <v>16.003399999999999</v>
      </c>
      <c r="C26" s="23"/>
    </row>
    <row r="27" spans="1:8" x14ac:dyDescent="0.15">
      <c r="A27" s="24" t="s">
        <v>8</v>
      </c>
      <c r="B27" s="46">
        <v>15.0998</v>
      </c>
      <c r="C27" s="23"/>
    </row>
    <row r="28" spans="1:8" x14ac:dyDescent="0.15">
      <c r="A28" s="24" t="s">
        <v>9</v>
      </c>
      <c r="B28" s="46">
        <v>21.6327</v>
      </c>
      <c r="C28" s="23"/>
    </row>
    <row r="29" spans="1:8" x14ac:dyDescent="0.15">
      <c r="A29" s="24" t="s">
        <v>10</v>
      </c>
      <c r="B29" s="45">
        <v>15.1867</v>
      </c>
      <c r="C29" s="23"/>
    </row>
    <row r="30" spans="1:8" x14ac:dyDescent="0.15">
      <c r="A30" s="25" t="s">
        <v>11</v>
      </c>
      <c r="B30" s="48">
        <v>27.1648</v>
      </c>
      <c r="C30" s="23"/>
    </row>
    <row r="32" spans="1:8" x14ac:dyDescent="0.2">
      <c r="A32" s="12" t="s">
        <v>68</v>
      </c>
      <c r="B32" s="12"/>
      <c r="C32" s="12"/>
      <c r="D32" s="12" t="s">
        <v>68</v>
      </c>
      <c r="E32" s="12"/>
      <c r="F32" s="12"/>
      <c r="G32" s="12"/>
      <c r="H32" s="12" t="s">
        <v>68</v>
      </c>
    </row>
    <row r="33" spans="1:8" x14ac:dyDescent="0.2">
      <c r="A33" s="22" t="s">
        <v>13</v>
      </c>
      <c r="B33" s="44">
        <v>20.863620000000001</v>
      </c>
      <c r="C33" s="12"/>
      <c r="D33" s="16"/>
      <c r="E33" s="20" t="s">
        <v>12</v>
      </c>
      <c r="F33" s="17" t="s">
        <v>23</v>
      </c>
      <c r="H33" s="15" t="s">
        <v>86</v>
      </c>
    </row>
    <row r="34" spans="1:8" x14ac:dyDescent="0.2">
      <c r="A34" s="24" t="s">
        <v>14</v>
      </c>
      <c r="B34" s="45">
        <v>12.198150000000002</v>
      </c>
      <c r="C34" s="12"/>
      <c r="D34" s="18" t="s">
        <v>0</v>
      </c>
      <c r="E34" s="11">
        <f>AVERAGE(B33:B42)</f>
        <v>80.821305000000024</v>
      </c>
      <c r="F34" s="13">
        <f>AVERAGE(B43:B52)</f>
        <v>185.78583899999998</v>
      </c>
      <c r="H34" s="8" t="s">
        <v>62</v>
      </c>
    </row>
    <row r="35" spans="1:8" x14ac:dyDescent="0.2">
      <c r="A35" s="24" t="s">
        <v>15</v>
      </c>
      <c r="B35" s="45">
        <v>257.16150000000005</v>
      </c>
      <c r="C35" s="12"/>
      <c r="D35" s="19" t="s">
        <v>1</v>
      </c>
      <c r="E35" s="21">
        <f>STDEV(B33:B42)/SQRT(COUNT(B33:B42))</f>
        <v>25.794357346290383</v>
      </c>
      <c r="F35" s="14">
        <f>STDEV(B43:B52)/SQRT(COUNT(B43:B52))</f>
        <v>37.349815756520144</v>
      </c>
      <c r="H35" s="9" t="s">
        <v>63</v>
      </c>
    </row>
    <row r="36" spans="1:8" x14ac:dyDescent="0.2">
      <c r="A36" s="24" t="s">
        <v>16</v>
      </c>
      <c r="B36" s="45">
        <v>176.17410000000001</v>
      </c>
      <c r="C36" s="12"/>
      <c r="D36" s="12"/>
      <c r="E36" s="12"/>
      <c r="F36" s="12"/>
      <c r="G36" s="12"/>
    </row>
    <row r="37" spans="1:8" x14ac:dyDescent="0.2">
      <c r="A37" s="24" t="s">
        <v>17</v>
      </c>
      <c r="B37" s="45">
        <v>19.99701</v>
      </c>
      <c r="C37" s="12"/>
    </row>
    <row r="38" spans="1:8" x14ac:dyDescent="0.2">
      <c r="A38" s="24" t="s">
        <v>18</v>
      </c>
      <c r="B38" s="45">
        <v>59.857830000000007</v>
      </c>
      <c r="C38" s="12"/>
      <c r="D38" s="12"/>
      <c r="E38" s="12"/>
      <c r="F38" s="12"/>
      <c r="G38" s="12"/>
    </row>
    <row r="39" spans="1:8" x14ac:dyDescent="0.2">
      <c r="A39" s="24" t="s">
        <v>19</v>
      </c>
      <c r="B39" s="46">
        <v>16.530839999999998</v>
      </c>
      <c r="C39" s="12"/>
      <c r="D39" s="12"/>
      <c r="E39" s="12"/>
      <c r="F39" s="12"/>
      <c r="G39" s="12"/>
    </row>
    <row r="40" spans="1:8" x14ac:dyDescent="0.15">
      <c r="A40" s="24" t="s">
        <v>20</v>
      </c>
      <c r="B40" s="46">
        <v>36.927900000000001</v>
      </c>
      <c r="C40" s="12"/>
      <c r="D40" s="23"/>
      <c r="E40" s="23"/>
      <c r="F40" s="12"/>
      <c r="G40" s="12"/>
    </row>
    <row r="41" spans="1:8" x14ac:dyDescent="0.15">
      <c r="A41" s="24" t="s">
        <v>21</v>
      </c>
      <c r="B41" s="46">
        <v>97.451999999999998</v>
      </c>
      <c r="C41" s="12"/>
      <c r="D41" s="23"/>
      <c r="E41" s="23"/>
      <c r="F41" s="12"/>
      <c r="G41" s="12"/>
    </row>
    <row r="42" spans="1:8" x14ac:dyDescent="0.15">
      <c r="A42" s="25" t="s">
        <v>22</v>
      </c>
      <c r="B42" s="47">
        <v>111.05010000000001</v>
      </c>
      <c r="C42" s="12"/>
      <c r="D42" s="23"/>
      <c r="E42" s="23"/>
      <c r="F42" s="12"/>
      <c r="G42" s="12"/>
    </row>
    <row r="43" spans="1:8" x14ac:dyDescent="0.15">
      <c r="A43" s="24" t="s">
        <v>2</v>
      </c>
      <c r="B43" s="45">
        <v>292.15709999999996</v>
      </c>
      <c r="C43" s="12"/>
      <c r="D43" s="23"/>
      <c r="E43" s="23"/>
      <c r="F43" s="12"/>
      <c r="G43" s="12"/>
    </row>
    <row r="44" spans="1:8" x14ac:dyDescent="0.15">
      <c r="A44" s="24" t="s">
        <v>3</v>
      </c>
      <c r="B44" s="45">
        <v>375.94439999999997</v>
      </c>
      <c r="C44" s="12"/>
      <c r="D44" s="23"/>
      <c r="E44" s="23"/>
      <c r="F44" s="12"/>
      <c r="G44" s="12"/>
    </row>
    <row r="45" spans="1:8" x14ac:dyDescent="0.15">
      <c r="A45" s="24" t="s">
        <v>4</v>
      </c>
      <c r="B45" s="45">
        <v>170.90819999999999</v>
      </c>
      <c r="C45" s="12"/>
      <c r="D45" s="23"/>
      <c r="E45" s="23"/>
    </row>
    <row r="46" spans="1:8" x14ac:dyDescent="0.15">
      <c r="A46" s="24" t="s">
        <v>5</v>
      </c>
      <c r="B46" s="45">
        <v>91.119600000000005</v>
      </c>
      <c r="C46" s="12"/>
      <c r="D46" s="23"/>
      <c r="E46" s="23"/>
    </row>
    <row r="47" spans="1:8" x14ac:dyDescent="0.15">
      <c r="A47" s="24" t="s">
        <v>6</v>
      </c>
      <c r="B47" s="46">
        <v>59.991120000000002</v>
      </c>
      <c r="C47" s="12"/>
      <c r="D47" s="23"/>
      <c r="E47" s="23"/>
    </row>
    <row r="48" spans="1:8" x14ac:dyDescent="0.15">
      <c r="A48" s="24" t="s">
        <v>7</v>
      </c>
      <c r="B48" s="46">
        <v>156.1104</v>
      </c>
      <c r="C48" s="12"/>
      <c r="D48" s="23"/>
      <c r="E48" s="23"/>
    </row>
    <row r="49" spans="1:8" x14ac:dyDescent="0.15">
      <c r="A49" s="24" t="s">
        <v>8</v>
      </c>
      <c r="B49" s="46">
        <v>42.527069999999995</v>
      </c>
      <c r="C49" s="12"/>
      <c r="D49" s="23"/>
      <c r="E49" s="23"/>
    </row>
    <row r="50" spans="1:8" x14ac:dyDescent="0.2">
      <c r="A50" s="24" t="s">
        <v>9</v>
      </c>
      <c r="B50" s="46">
        <v>115.31610000000002</v>
      </c>
      <c r="C50" s="12"/>
    </row>
    <row r="51" spans="1:8" x14ac:dyDescent="0.2">
      <c r="A51" s="24" t="s">
        <v>10</v>
      </c>
      <c r="B51" s="45">
        <v>205.83629999999999</v>
      </c>
      <c r="C51" s="12"/>
    </row>
    <row r="52" spans="1:8" x14ac:dyDescent="0.2">
      <c r="A52" s="25" t="s">
        <v>11</v>
      </c>
      <c r="B52" s="48">
        <v>347.94809999999995</v>
      </c>
      <c r="C52" s="12"/>
    </row>
    <row r="54" spans="1:8" x14ac:dyDescent="0.2">
      <c r="A54" s="12" t="s">
        <v>69</v>
      </c>
      <c r="B54" s="12"/>
      <c r="C54" s="12"/>
      <c r="D54" s="12" t="s">
        <v>69</v>
      </c>
      <c r="E54" s="12"/>
      <c r="F54" s="12"/>
      <c r="G54" s="12"/>
      <c r="H54" s="12" t="s">
        <v>69</v>
      </c>
    </row>
    <row r="55" spans="1:8" x14ac:dyDescent="0.2">
      <c r="A55" s="22" t="s">
        <v>13</v>
      </c>
      <c r="B55" s="49">
        <v>5.8158599999999998</v>
      </c>
      <c r="C55" s="12"/>
      <c r="D55" s="16"/>
      <c r="E55" s="20" t="s">
        <v>12</v>
      </c>
      <c r="F55" s="17" t="s">
        <v>23</v>
      </c>
      <c r="H55" s="15" t="s">
        <v>87</v>
      </c>
    </row>
    <row r="56" spans="1:8" x14ac:dyDescent="0.2">
      <c r="A56" s="24" t="s">
        <v>14</v>
      </c>
      <c r="B56" s="50">
        <v>2.7927300000000002</v>
      </c>
      <c r="C56" s="12"/>
      <c r="D56" s="18" t="s">
        <v>0</v>
      </c>
      <c r="E56" s="11">
        <f>AVERAGE(B55:B64)</f>
        <v>5.358784</v>
      </c>
      <c r="F56" s="13">
        <f>AVERAGE(B65:B74)</f>
        <v>7.6838549999999994</v>
      </c>
      <c r="H56" s="8" t="s">
        <v>32</v>
      </c>
    </row>
    <row r="57" spans="1:8" x14ac:dyDescent="0.2">
      <c r="A57" s="24" t="s">
        <v>15</v>
      </c>
      <c r="B57" s="50">
        <v>6.7628500000000003</v>
      </c>
      <c r="C57" s="12"/>
      <c r="D57" s="19" t="s">
        <v>1</v>
      </c>
      <c r="E57" s="21">
        <f>STDEV(B55:B64)/SQRT(COUNT(B55:B64))</f>
        <v>0.44461521465744774</v>
      </c>
      <c r="F57" s="14">
        <f>STDEV(B65:B74)/SQRT(COUNT(B65:B74))</f>
        <v>0.957836247665945</v>
      </c>
      <c r="H57" s="9" t="s">
        <v>46</v>
      </c>
    </row>
    <row r="58" spans="1:8" x14ac:dyDescent="0.2">
      <c r="A58" s="24" t="s">
        <v>16</v>
      </c>
      <c r="B58" s="50">
        <v>3.21916</v>
      </c>
      <c r="C58" s="12"/>
    </row>
    <row r="59" spans="1:8" x14ac:dyDescent="0.2">
      <c r="A59" s="24" t="s">
        <v>17</v>
      </c>
      <c r="B59" s="50">
        <v>5.3930400000000001</v>
      </c>
      <c r="C59" s="12"/>
      <c r="D59" s="12"/>
      <c r="E59" s="12"/>
      <c r="F59" s="12"/>
      <c r="G59" s="12"/>
    </row>
    <row r="60" spans="1:8" x14ac:dyDescent="0.2">
      <c r="A60" s="24" t="s">
        <v>18</v>
      </c>
      <c r="B60" s="50">
        <v>5.7576999999999998</v>
      </c>
      <c r="C60" s="12"/>
      <c r="D60" s="12"/>
      <c r="E60" s="12"/>
      <c r="F60" s="12"/>
      <c r="G60" s="12"/>
    </row>
    <row r="61" spans="1:8" x14ac:dyDescent="0.2">
      <c r="A61" s="24" t="s">
        <v>19</v>
      </c>
      <c r="B61" s="51">
        <v>5.22112</v>
      </c>
      <c r="C61" s="12"/>
      <c r="D61" s="12"/>
      <c r="E61" s="12"/>
      <c r="F61" s="12"/>
      <c r="G61" s="12"/>
    </row>
    <row r="62" spans="1:8" x14ac:dyDescent="0.2">
      <c r="A62" s="24" t="s">
        <v>20</v>
      </c>
      <c r="B62" s="51">
        <v>5.1100000000000003</v>
      </c>
      <c r="C62" s="12"/>
      <c r="D62" s="12"/>
      <c r="E62" s="12"/>
      <c r="F62" s="12"/>
      <c r="G62" s="12"/>
    </row>
    <row r="63" spans="1:8" x14ac:dyDescent="0.2">
      <c r="A63" s="24" t="s">
        <v>21</v>
      </c>
      <c r="B63" s="51">
        <v>7.1407499999999997</v>
      </c>
      <c r="C63" s="12"/>
      <c r="D63" s="12"/>
      <c r="E63" s="12"/>
      <c r="F63" s="12"/>
      <c r="G63" s="12"/>
    </row>
    <row r="64" spans="1:8" x14ac:dyDescent="0.2">
      <c r="A64" s="25" t="s">
        <v>22</v>
      </c>
      <c r="B64" s="52">
        <v>6.3746299999999998</v>
      </c>
      <c r="C64" s="12"/>
      <c r="D64" s="12"/>
      <c r="E64" s="12"/>
      <c r="F64" s="12"/>
      <c r="G64" s="12"/>
    </row>
    <row r="65" spans="1:10" x14ac:dyDescent="0.2">
      <c r="A65" s="24" t="s">
        <v>2</v>
      </c>
      <c r="B65" s="50">
        <v>7.3622199999999998</v>
      </c>
      <c r="C65" s="12"/>
      <c r="D65" s="12"/>
      <c r="E65" s="12"/>
      <c r="F65" s="12"/>
      <c r="G65" s="12"/>
    </row>
    <row r="66" spans="1:10" x14ac:dyDescent="0.2">
      <c r="A66" s="24" t="s">
        <v>3</v>
      </c>
      <c r="B66" s="50">
        <v>6.81046</v>
      </c>
      <c r="C66" s="12"/>
      <c r="D66" s="12"/>
      <c r="E66" s="12"/>
      <c r="F66" s="12"/>
      <c r="G66" s="12"/>
    </row>
    <row r="67" spans="1:10" x14ac:dyDescent="0.2">
      <c r="A67" s="24" t="s">
        <v>4</v>
      </c>
      <c r="B67" s="50">
        <v>9.1686399999999999</v>
      </c>
    </row>
    <row r="68" spans="1:10" x14ac:dyDescent="0.2">
      <c r="A68" s="24" t="s">
        <v>5</v>
      </c>
      <c r="B68" s="50">
        <v>14.28</v>
      </c>
    </row>
    <row r="69" spans="1:10" x14ac:dyDescent="0.2">
      <c r="A69" s="24" t="s">
        <v>6</v>
      </c>
      <c r="B69" s="51">
        <v>9.9910099999999993</v>
      </c>
    </row>
    <row r="70" spans="1:10" x14ac:dyDescent="0.2">
      <c r="A70" s="24" t="s">
        <v>7</v>
      </c>
      <c r="B70" s="51">
        <v>8.2597799999999992</v>
      </c>
    </row>
    <row r="71" spans="1:10" x14ac:dyDescent="0.2">
      <c r="A71" s="24" t="s">
        <v>8</v>
      </c>
      <c r="B71" s="51">
        <v>4.27745</v>
      </c>
    </row>
    <row r="72" spans="1:10" x14ac:dyDescent="0.2">
      <c r="A72" s="24" t="s">
        <v>9</v>
      </c>
      <c r="B72" s="51">
        <v>3.8256999999999999</v>
      </c>
    </row>
    <row r="73" spans="1:10" x14ac:dyDescent="0.2">
      <c r="A73" s="24" t="s">
        <v>10</v>
      </c>
      <c r="B73" s="50">
        <v>7.0278299999999998</v>
      </c>
    </row>
    <row r="74" spans="1:10" x14ac:dyDescent="0.2">
      <c r="A74" s="25" t="s">
        <v>11</v>
      </c>
      <c r="B74" s="53">
        <v>5.8354600000000003</v>
      </c>
    </row>
    <row r="76" spans="1:10" x14ac:dyDescent="0.2">
      <c r="A76" s="12" t="s">
        <v>70</v>
      </c>
      <c r="B76" s="12"/>
      <c r="C76" s="12"/>
      <c r="D76" s="12"/>
      <c r="E76" s="12"/>
      <c r="F76" s="12"/>
      <c r="G76" s="12"/>
    </row>
    <row r="77" spans="1:10" x14ac:dyDescent="0.2">
      <c r="A77" s="22"/>
      <c r="B77" s="26" t="s">
        <v>24</v>
      </c>
      <c r="C77" s="26" t="s">
        <v>25</v>
      </c>
      <c r="D77" s="27" t="s">
        <v>26</v>
      </c>
      <c r="F77" s="12" t="s">
        <v>24</v>
      </c>
      <c r="G77" s="12"/>
      <c r="H77" s="12"/>
      <c r="J77" s="12" t="s">
        <v>24</v>
      </c>
    </row>
    <row r="78" spans="1:10" x14ac:dyDescent="0.2">
      <c r="A78" s="6" t="s">
        <v>13</v>
      </c>
      <c r="B78" s="41">
        <v>27</v>
      </c>
      <c r="C78" s="54">
        <v>8</v>
      </c>
      <c r="D78" s="55">
        <v>19</v>
      </c>
      <c r="F78" s="16"/>
      <c r="G78" s="20" t="s">
        <v>12</v>
      </c>
      <c r="H78" s="17" t="s">
        <v>23</v>
      </c>
      <c r="J78" s="15" t="s">
        <v>61</v>
      </c>
    </row>
    <row r="79" spans="1:10" x14ac:dyDescent="0.2">
      <c r="A79" s="7" t="s">
        <v>14</v>
      </c>
      <c r="B79" s="41">
        <v>8</v>
      </c>
      <c r="C79" s="56">
        <v>1</v>
      </c>
      <c r="D79" s="57">
        <v>7</v>
      </c>
      <c r="F79" s="18" t="s">
        <v>0</v>
      </c>
      <c r="G79" s="11">
        <f>AVERAGE(B78:B87)</f>
        <v>16.5</v>
      </c>
      <c r="H79" s="13">
        <f>AVERAGE(B88:B97)</f>
        <v>23.4</v>
      </c>
      <c r="J79" s="8" t="s">
        <v>33</v>
      </c>
    </row>
    <row r="80" spans="1:10" x14ac:dyDescent="0.2">
      <c r="A80" s="7" t="s">
        <v>15</v>
      </c>
      <c r="B80" s="41">
        <v>24</v>
      </c>
      <c r="C80" s="56">
        <v>10</v>
      </c>
      <c r="D80" s="57">
        <v>14</v>
      </c>
      <c r="F80" s="19" t="s">
        <v>1</v>
      </c>
      <c r="G80" s="21">
        <f>STDEV(B78:B87)/SQRT(COUNT(B78:B87))</f>
        <v>2.0829999733290658</v>
      </c>
      <c r="H80" s="14">
        <f>STDEV(B88:B97)/SQRT(COUNT(B88:B97))</f>
        <v>2.9933259094191524</v>
      </c>
      <c r="J80" s="9" t="s">
        <v>47</v>
      </c>
    </row>
    <row r="81" spans="1:10" x14ac:dyDescent="0.2">
      <c r="A81" s="7" t="s">
        <v>16</v>
      </c>
      <c r="B81" s="41">
        <v>8</v>
      </c>
      <c r="C81" s="56">
        <v>1</v>
      </c>
      <c r="D81" s="56">
        <v>7</v>
      </c>
      <c r="E81" s="12"/>
      <c r="F81" s="12"/>
    </row>
    <row r="82" spans="1:10" x14ac:dyDescent="0.2">
      <c r="A82" s="7" t="s">
        <v>17</v>
      </c>
      <c r="B82" s="41">
        <v>14</v>
      </c>
      <c r="C82" s="56">
        <v>2</v>
      </c>
      <c r="D82" s="56">
        <v>12</v>
      </c>
      <c r="E82" s="12"/>
      <c r="F82" s="12" t="s">
        <v>25</v>
      </c>
      <c r="G82" s="12"/>
      <c r="H82" s="12"/>
      <c r="J82" s="12" t="s">
        <v>25</v>
      </c>
    </row>
    <row r="83" spans="1:10" x14ac:dyDescent="0.2">
      <c r="A83" s="7" t="s">
        <v>18</v>
      </c>
      <c r="B83" s="41">
        <v>13</v>
      </c>
      <c r="C83" s="56">
        <v>4</v>
      </c>
      <c r="D83" s="56">
        <v>9</v>
      </c>
      <c r="E83" s="12"/>
      <c r="F83" s="16"/>
      <c r="G83" s="20" t="s">
        <v>12</v>
      </c>
      <c r="H83" s="17" t="s">
        <v>23</v>
      </c>
      <c r="J83" s="15" t="s">
        <v>30</v>
      </c>
    </row>
    <row r="84" spans="1:10" x14ac:dyDescent="0.2">
      <c r="A84" s="7" t="s">
        <v>19</v>
      </c>
      <c r="B84" s="42">
        <v>15</v>
      </c>
      <c r="C84" s="56">
        <v>5</v>
      </c>
      <c r="D84" s="56">
        <v>10</v>
      </c>
      <c r="E84" s="12"/>
      <c r="F84" s="18" t="s">
        <v>0</v>
      </c>
      <c r="G84" s="11">
        <f>AVERAGE(C78:C87)</f>
        <v>5.0999999999999996</v>
      </c>
      <c r="H84" s="13">
        <f>AVERAGE(C88:C97)</f>
        <v>9.6999999999999993</v>
      </c>
      <c r="J84" s="8" t="s">
        <v>34</v>
      </c>
    </row>
    <row r="85" spans="1:10" x14ac:dyDescent="0.2">
      <c r="A85" s="7" t="s">
        <v>20</v>
      </c>
      <c r="B85" s="42">
        <v>15</v>
      </c>
      <c r="C85" s="56">
        <v>5</v>
      </c>
      <c r="D85" s="56">
        <v>10</v>
      </c>
      <c r="E85" s="12"/>
      <c r="F85" s="19" t="s">
        <v>1</v>
      </c>
      <c r="G85" s="21">
        <f>STDEV(C78:C87)/SQRT(COUNT(C78:C87))</f>
        <v>1.0159833769418778</v>
      </c>
      <c r="H85" s="14">
        <f>STDEV(C88:C97)/SQRT(COUNT(C88:C97))</f>
        <v>1.7451520150277899</v>
      </c>
      <c r="J85" s="9" t="s">
        <v>48</v>
      </c>
    </row>
    <row r="86" spans="1:10" x14ac:dyDescent="0.2">
      <c r="A86" s="7" t="s">
        <v>21</v>
      </c>
      <c r="B86" s="42">
        <v>24</v>
      </c>
      <c r="C86" s="56">
        <v>6</v>
      </c>
      <c r="D86" s="56">
        <v>18</v>
      </c>
      <c r="E86" s="12"/>
      <c r="F86" s="12"/>
    </row>
    <row r="87" spans="1:10" x14ac:dyDescent="0.2">
      <c r="A87" s="10" t="s">
        <v>22</v>
      </c>
      <c r="B87" s="39">
        <v>17</v>
      </c>
      <c r="C87" s="58">
        <v>9</v>
      </c>
      <c r="D87" s="58">
        <v>8</v>
      </c>
      <c r="E87" s="12"/>
      <c r="F87" s="12" t="s">
        <v>26</v>
      </c>
      <c r="G87" s="12"/>
      <c r="H87" s="12"/>
      <c r="J87" s="12" t="s">
        <v>26</v>
      </c>
    </row>
    <row r="88" spans="1:10" x14ac:dyDescent="0.2">
      <c r="A88" s="7" t="s">
        <v>2</v>
      </c>
      <c r="B88" s="41">
        <v>21</v>
      </c>
      <c r="C88" s="54">
        <v>6</v>
      </c>
      <c r="D88" s="54">
        <v>15</v>
      </c>
      <c r="E88" s="12"/>
      <c r="F88" s="16"/>
      <c r="G88" s="20" t="s">
        <v>12</v>
      </c>
      <c r="H88" s="17" t="s">
        <v>23</v>
      </c>
      <c r="J88" s="15" t="s">
        <v>30</v>
      </c>
    </row>
    <row r="89" spans="1:10" x14ac:dyDescent="0.2">
      <c r="A89" s="7" t="s">
        <v>3</v>
      </c>
      <c r="B89" s="41">
        <v>22</v>
      </c>
      <c r="C89" s="56">
        <v>4</v>
      </c>
      <c r="D89" s="56">
        <v>18</v>
      </c>
      <c r="E89" s="12"/>
      <c r="F89" s="18" t="s">
        <v>0</v>
      </c>
      <c r="G89" s="11">
        <f>AVERAGE(D78:D87)</f>
        <v>11.4</v>
      </c>
      <c r="H89" s="13">
        <f>AVERAGE(D88:D97)</f>
        <v>13.7</v>
      </c>
      <c r="J89" s="8" t="s">
        <v>35</v>
      </c>
    </row>
    <row r="90" spans="1:10" x14ac:dyDescent="0.2">
      <c r="A90" s="7" t="s">
        <v>4</v>
      </c>
      <c r="B90" s="41">
        <v>22</v>
      </c>
      <c r="C90" s="57">
        <v>12</v>
      </c>
      <c r="D90" s="57">
        <v>10</v>
      </c>
      <c r="F90" s="19" t="s">
        <v>1</v>
      </c>
      <c r="G90" s="21">
        <f>STDEV(D78:D87)/SQRT(COUNT(D78:D87))</f>
        <v>1.3678856352455464</v>
      </c>
      <c r="H90" s="14">
        <f>STDEV(D88:D97)/SQRT(COUNT(D88:D97))</f>
        <v>1.5638272140986529</v>
      </c>
      <c r="J90" s="9" t="s">
        <v>49</v>
      </c>
    </row>
    <row r="91" spans="1:10" x14ac:dyDescent="0.2">
      <c r="A91" s="7" t="s">
        <v>5</v>
      </c>
      <c r="B91" s="41">
        <v>40</v>
      </c>
      <c r="C91" s="57">
        <v>19</v>
      </c>
      <c r="D91" s="57">
        <v>21</v>
      </c>
    </row>
    <row r="92" spans="1:10" x14ac:dyDescent="0.2">
      <c r="A92" s="7" t="s">
        <v>6</v>
      </c>
      <c r="B92" s="42">
        <v>38</v>
      </c>
      <c r="C92" s="57">
        <v>18</v>
      </c>
      <c r="D92" s="57">
        <v>20</v>
      </c>
    </row>
    <row r="93" spans="1:10" x14ac:dyDescent="0.2">
      <c r="A93" s="7" t="s">
        <v>7</v>
      </c>
      <c r="B93" s="42">
        <v>29</v>
      </c>
      <c r="C93" s="57">
        <v>13</v>
      </c>
      <c r="D93" s="57">
        <v>16</v>
      </c>
    </row>
    <row r="94" spans="1:10" x14ac:dyDescent="0.2">
      <c r="A94" s="7" t="s">
        <v>8</v>
      </c>
      <c r="B94" s="42">
        <v>13</v>
      </c>
      <c r="C94" s="57">
        <v>4</v>
      </c>
      <c r="D94" s="57">
        <v>9</v>
      </c>
    </row>
    <row r="95" spans="1:10" x14ac:dyDescent="0.2">
      <c r="A95" s="7" t="s">
        <v>9</v>
      </c>
      <c r="B95" s="42">
        <v>17</v>
      </c>
      <c r="C95" s="57">
        <v>7</v>
      </c>
      <c r="D95" s="57">
        <v>10</v>
      </c>
    </row>
    <row r="96" spans="1:10" x14ac:dyDescent="0.2">
      <c r="A96" s="7" t="s">
        <v>10</v>
      </c>
      <c r="B96" s="41">
        <v>19</v>
      </c>
      <c r="C96" s="57">
        <v>8</v>
      </c>
      <c r="D96" s="57">
        <v>11</v>
      </c>
    </row>
    <row r="97" spans="1:10" x14ac:dyDescent="0.2">
      <c r="A97" s="10" t="s">
        <v>11</v>
      </c>
      <c r="B97" s="43">
        <v>13</v>
      </c>
      <c r="C97" s="59">
        <v>6</v>
      </c>
      <c r="D97" s="59">
        <v>7</v>
      </c>
    </row>
    <row r="99" spans="1:10" x14ac:dyDescent="0.2">
      <c r="A99" s="12" t="s">
        <v>71</v>
      </c>
      <c r="B99" s="12"/>
      <c r="C99" s="12"/>
      <c r="D99" s="12" t="s">
        <v>71</v>
      </c>
      <c r="E99" s="12"/>
      <c r="F99" s="12"/>
      <c r="G99" s="12"/>
      <c r="H99" s="12" t="s">
        <v>71</v>
      </c>
    </row>
    <row r="100" spans="1:10" x14ac:dyDescent="0.2">
      <c r="A100" s="22" t="s">
        <v>13</v>
      </c>
      <c r="B100" s="54">
        <v>29.6296</v>
      </c>
      <c r="C100" s="63"/>
      <c r="D100" s="16"/>
      <c r="E100" s="20" t="s">
        <v>12</v>
      </c>
      <c r="F100" s="17" t="s">
        <v>23</v>
      </c>
      <c r="H100" s="15" t="s">
        <v>43</v>
      </c>
      <c r="J100" s="32"/>
    </row>
    <row r="101" spans="1:10" x14ac:dyDescent="0.2">
      <c r="A101" s="24" t="s">
        <v>14</v>
      </c>
      <c r="B101" s="56">
        <v>12.5</v>
      </c>
      <c r="C101" s="63"/>
      <c r="D101" s="18" t="s">
        <v>0</v>
      </c>
      <c r="E101" s="11">
        <f>AVERAGE(B100:B109)</f>
        <v>28.5959</v>
      </c>
      <c r="F101" s="13">
        <f>AVERAGE(B110:B119)</f>
        <v>40.119949999999996</v>
      </c>
      <c r="H101" s="8" t="s">
        <v>36</v>
      </c>
      <c r="J101" s="32"/>
    </row>
    <row r="102" spans="1:10" x14ac:dyDescent="0.2">
      <c r="A102" s="24" t="s">
        <v>15</v>
      </c>
      <c r="B102" s="56">
        <v>41.666699999999999</v>
      </c>
      <c r="C102" s="63"/>
      <c r="D102" s="19" t="s">
        <v>1</v>
      </c>
      <c r="E102" s="21">
        <f>STDEV(B100:B109)/SQRT(COUNT(B100:B109))</f>
        <v>4.1500809166140913</v>
      </c>
      <c r="F102" s="14">
        <f>STDEV(B110:B119)/SQRT(COUNT(B110:B119))</f>
        <v>3.4654113803655</v>
      </c>
      <c r="H102" s="9" t="s">
        <v>50</v>
      </c>
      <c r="J102" s="32"/>
    </row>
    <row r="103" spans="1:10" x14ac:dyDescent="0.2">
      <c r="A103" s="24" t="s">
        <v>16</v>
      </c>
      <c r="B103" s="56">
        <v>12.5</v>
      </c>
      <c r="C103" s="63"/>
      <c r="J103" s="32"/>
    </row>
    <row r="104" spans="1:10" x14ac:dyDescent="0.2">
      <c r="A104" s="24" t="s">
        <v>17</v>
      </c>
      <c r="B104" s="56">
        <v>14.2857</v>
      </c>
      <c r="C104" s="63"/>
      <c r="D104" s="12"/>
      <c r="E104" s="12"/>
      <c r="F104" s="12"/>
      <c r="G104" s="12"/>
      <c r="J104" s="32"/>
    </row>
    <row r="105" spans="1:10" x14ac:dyDescent="0.2">
      <c r="A105" s="24" t="s">
        <v>18</v>
      </c>
      <c r="B105" s="56">
        <v>30.769200000000001</v>
      </c>
      <c r="C105" s="63"/>
      <c r="D105" s="12"/>
      <c r="E105" s="12"/>
      <c r="F105" s="12"/>
      <c r="G105" s="12"/>
      <c r="J105" s="32"/>
    </row>
    <row r="106" spans="1:10" x14ac:dyDescent="0.2">
      <c r="A106" s="24" t="s">
        <v>19</v>
      </c>
      <c r="B106" s="57">
        <v>33.333300000000001</v>
      </c>
      <c r="C106" s="63"/>
      <c r="D106" s="12"/>
      <c r="E106" s="12"/>
      <c r="F106" s="12"/>
      <c r="G106" s="12"/>
      <c r="J106" s="32"/>
    </row>
    <row r="107" spans="1:10" x14ac:dyDescent="0.2">
      <c r="A107" s="24" t="s">
        <v>20</v>
      </c>
      <c r="B107" s="57">
        <v>33.333300000000001</v>
      </c>
      <c r="C107" s="63"/>
      <c r="D107" s="12"/>
      <c r="E107" s="12"/>
      <c r="F107" s="12"/>
      <c r="G107" s="12"/>
      <c r="J107" s="32"/>
    </row>
    <row r="108" spans="1:10" x14ac:dyDescent="0.2">
      <c r="A108" s="24" t="s">
        <v>21</v>
      </c>
      <c r="B108" s="57">
        <v>25</v>
      </c>
      <c r="C108" s="63"/>
      <c r="D108" s="12"/>
      <c r="E108" s="12"/>
      <c r="F108" s="12"/>
      <c r="G108" s="12"/>
      <c r="J108" s="32"/>
    </row>
    <row r="109" spans="1:10" x14ac:dyDescent="0.2">
      <c r="A109" s="25" t="s">
        <v>22</v>
      </c>
      <c r="B109" s="59">
        <v>52.941200000000002</v>
      </c>
      <c r="C109" s="63"/>
      <c r="D109" s="12"/>
      <c r="E109" s="12"/>
      <c r="F109" s="12"/>
      <c r="G109" s="12"/>
      <c r="J109" s="32"/>
    </row>
    <row r="110" spans="1:10" x14ac:dyDescent="0.2">
      <c r="A110" s="24" t="s">
        <v>2</v>
      </c>
      <c r="B110" s="56">
        <v>28.571400000000001</v>
      </c>
      <c r="C110" s="63"/>
      <c r="D110" s="12"/>
      <c r="E110" s="12"/>
      <c r="F110" s="12"/>
      <c r="G110" s="12"/>
      <c r="J110" s="32"/>
    </row>
    <row r="111" spans="1:10" x14ac:dyDescent="0.2">
      <c r="A111" s="24" t="s">
        <v>3</v>
      </c>
      <c r="B111" s="56">
        <v>18.181799999999999</v>
      </c>
      <c r="C111" s="63"/>
      <c r="D111" s="12"/>
      <c r="E111" s="12"/>
      <c r="F111" s="12"/>
      <c r="G111" s="12"/>
      <c r="J111" s="32"/>
    </row>
    <row r="112" spans="1:10" x14ac:dyDescent="0.2">
      <c r="A112" s="24" t="s">
        <v>4</v>
      </c>
      <c r="B112" s="56">
        <v>54.545499999999997</v>
      </c>
      <c r="C112" s="63"/>
      <c r="J112" s="32"/>
    </row>
    <row r="113" spans="1:10" x14ac:dyDescent="0.2">
      <c r="A113" s="24" t="s">
        <v>5</v>
      </c>
      <c r="B113" s="56">
        <v>47.5</v>
      </c>
      <c r="C113" s="63"/>
      <c r="J113" s="32"/>
    </row>
    <row r="114" spans="1:10" x14ac:dyDescent="0.2">
      <c r="A114" s="24" t="s">
        <v>6</v>
      </c>
      <c r="B114" s="57">
        <v>47.368400000000001</v>
      </c>
      <c r="C114" s="63"/>
      <c r="J114" s="32"/>
    </row>
    <row r="115" spans="1:10" x14ac:dyDescent="0.2">
      <c r="A115" s="24" t="s">
        <v>7</v>
      </c>
      <c r="B115" s="57">
        <v>44.827599999999997</v>
      </c>
      <c r="C115" s="63"/>
      <c r="J115" s="32"/>
    </row>
    <row r="116" spans="1:10" x14ac:dyDescent="0.2">
      <c r="A116" s="24" t="s">
        <v>8</v>
      </c>
      <c r="B116" s="57">
        <v>30.769200000000001</v>
      </c>
      <c r="C116" s="63"/>
      <c r="J116" s="32"/>
    </row>
    <row r="117" spans="1:10" x14ac:dyDescent="0.2">
      <c r="A117" s="24" t="s">
        <v>9</v>
      </c>
      <c r="B117" s="57">
        <v>41.176499999999997</v>
      </c>
      <c r="C117" s="63"/>
      <c r="J117" s="32"/>
    </row>
    <row r="118" spans="1:10" x14ac:dyDescent="0.2">
      <c r="A118" s="24" t="s">
        <v>10</v>
      </c>
      <c r="B118" s="56">
        <v>42.1053</v>
      </c>
      <c r="C118" s="63"/>
      <c r="J118" s="32"/>
    </row>
    <row r="119" spans="1:10" x14ac:dyDescent="0.2">
      <c r="A119" s="25" t="s">
        <v>11</v>
      </c>
      <c r="B119" s="58">
        <v>46.153799999999997</v>
      </c>
      <c r="C119" s="63"/>
      <c r="J119" s="32"/>
    </row>
    <row r="121" spans="1:10" x14ac:dyDescent="0.2">
      <c r="A121" s="12" t="s">
        <v>72</v>
      </c>
      <c r="B121" s="12"/>
      <c r="C121" s="12"/>
      <c r="D121" s="12" t="s">
        <v>72</v>
      </c>
      <c r="E121" s="12"/>
      <c r="F121" s="12"/>
      <c r="G121" s="12"/>
      <c r="H121" s="12" t="s">
        <v>72</v>
      </c>
    </row>
    <row r="122" spans="1:10" x14ac:dyDescent="0.2">
      <c r="A122" s="6" t="s">
        <v>13</v>
      </c>
      <c r="B122" s="40">
        <v>30.867000000000001</v>
      </c>
      <c r="C122" s="12"/>
      <c r="D122" s="16"/>
      <c r="E122" s="20" t="s">
        <v>12</v>
      </c>
      <c r="F122" s="17" t="s">
        <v>23</v>
      </c>
      <c r="H122" s="15" t="s">
        <v>85</v>
      </c>
    </row>
    <row r="123" spans="1:10" x14ac:dyDescent="0.2">
      <c r="A123" s="7" t="s">
        <v>14</v>
      </c>
      <c r="B123" s="41">
        <v>1.0669999999999999</v>
      </c>
      <c r="C123" s="12"/>
      <c r="D123" s="18" t="s">
        <v>0</v>
      </c>
      <c r="E123" s="11">
        <f>AVERAGE(B122:B131)</f>
        <v>20.480700000000002</v>
      </c>
      <c r="F123" s="13">
        <f>AVERAGE(B132:B141)</f>
        <v>80.880700000000004</v>
      </c>
      <c r="H123" s="8" t="s">
        <v>37</v>
      </c>
    </row>
    <row r="124" spans="1:10" x14ac:dyDescent="0.2">
      <c r="A124" s="7" t="s">
        <v>15</v>
      </c>
      <c r="B124" s="41">
        <v>40.600999999999999</v>
      </c>
      <c r="C124" s="12"/>
      <c r="D124" s="19" t="s">
        <v>1</v>
      </c>
      <c r="E124" s="21">
        <f>STDEV(B122:B131)/SQRT(COUNT(B122:B131))</f>
        <v>4.6180349525889612</v>
      </c>
      <c r="F124" s="14">
        <f>STDEV(B132:B141)/SQRT(COUNT(B132:B141))</f>
        <v>23.357555468104007</v>
      </c>
      <c r="H124" s="9" t="s">
        <v>51</v>
      </c>
    </row>
    <row r="125" spans="1:10" x14ac:dyDescent="0.2">
      <c r="A125" s="7" t="s">
        <v>16</v>
      </c>
      <c r="B125" s="41">
        <v>0.53400000000000003</v>
      </c>
      <c r="C125" s="12"/>
      <c r="D125" s="12"/>
      <c r="E125" s="12"/>
      <c r="F125" s="12"/>
      <c r="G125" s="12"/>
    </row>
    <row r="126" spans="1:10" x14ac:dyDescent="0.2">
      <c r="A126" s="7" t="s">
        <v>17</v>
      </c>
      <c r="B126" s="41">
        <v>3.734</v>
      </c>
      <c r="C126" s="12"/>
      <c r="D126" s="12"/>
      <c r="E126" s="12"/>
      <c r="F126" s="12"/>
      <c r="G126" s="12"/>
    </row>
    <row r="127" spans="1:10" x14ac:dyDescent="0.2">
      <c r="A127" s="7" t="s">
        <v>18</v>
      </c>
      <c r="B127" s="41">
        <v>25.401</v>
      </c>
      <c r="C127" s="12"/>
    </row>
    <row r="128" spans="1:10" x14ac:dyDescent="0.2">
      <c r="A128" s="7" t="s">
        <v>19</v>
      </c>
      <c r="B128" s="42">
        <v>36.201000000000001</v>
      </c>
      <c r="C128" s="12"/>
      <c r="D128" s="12"/>
      <c r="E128" s="12"/>
      <c r="F128" s="12"/>
      <c r="G128" s="12"/>
    </row>
    <row r="129" spans="1:8" x14ac:dyDescent="0.2">
      <c r="A129" s="7" t="s">
        <v>20</v>
      </c>
      <c r="B129" s="42">
        <v>19.466999999999999</v>
      </c>
      <c r="C129" s="12"/>
      <c r="D129" s="12"/>
      <c r="E129" s="12"/>
      <c r="F129" s="12"/>
      <c r="G129" s="12"/>
    </row>
    <row r="130" spans="1:8" x14ac:dyDescent="0.2">
      <c r="A130" s="7" t="s">
        <v>21</v>
      </c>
      <c r="B130" s="42">
        <v>17.934000000000001</v>
      </c>
      <c r="C130" s="12"/>
      <c r="D130" s="12"/>
      <c r="E130" s="12"/>
      <c r="F130" s="12"/>
      <c r="G130" s="12"/>
    </row>
    <row r="131" spans="1:8" x14ac:dyDescent="0.2">
      <c r="A131" s="10" t="s">
        <v>22</v>
      </c>
      <c r="B131" s="39">
        <v>29.001000000000001</v>
      </c>
      <c r="C131" s="12"/>
      <c r="D131" s="12"/>
      <c r="E131" s="12"/>
      <c r="F131" s="12"/>
      <c r="G131" s="12"/>
    </row>
    <row r="132" spans="1:8" x14ac:dyDescent="0.2">
      <c r="A132" s="7" t="s">
        <v>2</v>
      </c>
      <c r="B132" s="41">
        <v>82.867000000000004</v>
      </c>
      <c r="C132" s="12"/>
      <c r="D132" s="12"/>
      <c r="E132" s="12"/>
      <c r="F132" s="12"/>
      <c r="G132" s="12"/>
    </row>
    <row r="133" spans="1:8" x14ac:dyDescent="0.2">
      <c r="A133" s="7" t="s">
        <v>3</v>
      </c>
      <c r="B133" s="41">
        <v>24.201000000000001</v>
      </c>
      <c r="C133" s="12"/>
      <c r="D133" s="12"/>
      <c r="E133" s="12"/>
      <c r="F133" s="12"/>
      <c r="G133" s="12"/>
    </row>
    <row r="134" spans="1:8" x14ac:dyDescent="0.2">
      <c r="A134" s="7" t="s">
        <v>4</v>
      </c>
      <c r="B134" s="41">
        <v>88.400999999999996</v>
      </c>
      <c r="C134" s="12"/>
    </row>
    <row r="135" spans="1:8" x14ac:dyDescent="0.2">
      <c r="A135" s="7" t="s">
        <v>5</v>
      </c>
      <c r="B135" s="41">
        <v>127.6</v>
      </c>
      <c r="C135" s="12"/>
    </row>
    <row r="136" spans="1:8" x14ac:dyDescent="0.2">
      <c r="A136" s="7" t="s">
        <v>6</v>
      </c>
      <c r="B136" s="42">
        <v>38.933999999999997</v>
      </c>
      <c r="C136" s="12"/>
    </row>
    <row r="137" spans="1:8" x14ac:dyDescent="0.2">
      <c r="A137" s="7" t="s">
        <v>7</v>
      </c>
      <c r="B137" s="42">
        <v>90.600999999999999</v>
      </c>
      <c r="C137" s="12"/>
    </row>
    <row r="138" spans="1:8" x14ac:dyDescent="0.2">
      <c r="A138" s="7" t="s">
        <v>8</v>
      </c>
      <c r="B138" s="42">
        <v>21.934000000000001</v>
      </c>
      <c r="C138" s="12"/>
    </row>
    <row r="139" spans="1:8" x14ac:dyDescent="0.2">
      <c r="A139" s="7" t="s">
        <v>9</v>
      </c>
      <c r="B139" s="42">
        <v>31.600999999999999</v>
      </c>
      <c r="C139" s="12"/>
    </row>
    <row r="140" spans="1:8" x14ac:dyDescent="0.2">
      <c r="A140" s="7" t="s">
        <v>10</v>
      </c>
      <c r="B140" s="41">
        <v>37.401000000000003</v>
      </c>
      <c r="C140" s="12"/>
    </row>
    <row r="141" spans="1:8" x14ac:dyDescent="0.2">
      <c r="A141" s="10" t="s">
        <v>11</v>
      </c>
      <c r="B141" s="43">
        <v>265.267</v>
      </c>
      <c r="C141" s="12"/>
    </row>
    <row r="143" spans="1:8" x14ac:dyDescent="0.2">
      <c r="A143" s="12" t="s">
        <v>73</v>
      </c>
      <c r="B143" s="12"/>
      <c r="C143" s="12"/>
      <c r="D143" s="12" t="s">
        <v>73</v>
      </c>
      <c r="E143" s="12"/>
      <c r="F143" s="12"/>
      <c r="G143" s="12"/>
      <c r="H143" s="12" t="s">
        <v>73</v>
      </c>
    </row>
    <row r="144" spans="1:8" x14ac:dyDescent="0.2">
      <c r="A144" s="22" t="s">
        <v>13</v>
      </c>
      <c r="B144" s="54">
        <v>5.8</v>
      </c>
      <c r="C144" s="12"/>
      <c r="D144" s="16"/>
      <c r="E144" s="20" t="s">
        <v>12</v>
      </c>
      <c r="F144" s="17" t="s">
        <v>23</v>
      </c>
      <c r="H144" s="15" t="s">
        <v>84</v>
      </c>
    </row>
    <row r="145" spans="1:8" x14ac:dyDescent="0.2">
      <c r="A145" s="24" t="s">
        <v>14</v>
      </c>
      <c r="B145" s="56">
        <v>21.7333</v>
      </c>
      <c r="C145" s="12"/>
      <c r="D145" s="18" t="s">
        <v>0</v>
      </c>
      <c r="E145" s="11">
        <f>AVERAGE(B144:B153)</f>
        <v>28.419979999999999</v>
      </c>
      <c r="F145" s="13">
        <f>AVERAGE(B154:B163)</f>
        <v>52.113289999999992</v>
      </c>
      <c r="H145" s="8" t="s">
        <v>38</v>
      </c>
    </row>
    <row r="146" spans="1:8" x14ac:dyDescent="0.2">
      <c r="A146" s="24" t="s">
        <v>15</v>
      </c>
      <c r="B146" s="56">
        <v>39.866599999999998</v>
      </c>
      <c r="C146" s="12"/>
      <c r="D146" s="19" t="s">
        <v>1</v>
      </c>
      <c r="E146" s="21">
        <f>STDEV(B144:B153)/SQRT(COUNT(B144:B153))</f>
        <v>3.9955519948173475</v>
      </c>
      <c r="F146" s="14">
        <f>STDEV(B154:B163)/SQRT(COUNT(B154:B163))</f>
        <v>7.2605418363989882</v>
      </c>
      <c r="H146" s="9" t="s">
        <v>52</v>
      </c>
    </row>
    <row r="147" spans="1:8" x14ac:dyDescent="0.2">
      <c r="A147" s="24" t="s">
        <v>16</v>
      </c>
      <c r="B147" s="56">
        <v>27.666599999999999</v>
      </c>
      <c r="C147" s="12"/>
      <c r="D147" s="12"/>
      <c r="E147" s="12"/>
      <c r="F147" s="12"/>
      <c r="G147" s="12"/>
    </row>
    <row r="148" spans="1:8" x14ac:dyDescent="0.2">
      <c r="A148" s="24" t="s">
        <v>17</v>
      </c>
      <c r="B148" s="56">
        <v>34.799999999999997</v>
      </c>
      <c r="C148" s="12"/>
    </row>
    <row r="149" spans="1:8" x14ac:dyDescent="0.2">
      <c r="A149" s="24" t="s">
        <v>18</v>
      </c>
      <c r="B149" s="56">
        <v>15.4</v>
      </c>
      <c r="C149" s="12"/>
      <c r="D149" s="12"/>
      <c r="E149" s="12"/>
      <c r="F149" s="12"/>
      <c r="G149" s="12"/>
    </row>
    <row r="150" spans="1:8" x14ac:dyDescent="0.2">
      <c r="A150" s="24" t="s">
        <v>19</v>
      </c>
      <c r="B150" s="57">
        <v>32.133299999999998</v>
      </c>
      <c r="C150" s="12"/>
      <c r="D150" s="12"/>
      <c r="E150" s="12"/>
      <c r="F150" s="12"/>
      <c r="G150" s="12"/>
    </row>
    <row r="151" spans="1:8" x14ac:dyDescent="0.2">
      <c r="A151" s="24" t="s">
        <v>20</v>
      </c>
      <c r="B151" s="57">
        <v>49.4</v>
      </c>
      <c r="C151" s="12"/>
      <c r="D151" s="12"/>
      <c r="E151" s="12"/>
      <c r="F151" s="12"/>
      <c r="G151" s="12"/>
    </row>
    <row r="152" spans="1:8" x14ac:dyDescent="0.2">
      <c r="A152" s="24" t="s">
        <v>21</v>
      </c>
      <c r="B152" s="57">
        <v>35.200000000000003</v>
      </c>
      <c r="C152" s="12"/>
      <c r="D152" s="12"/>
      <c r="E152" s="12"/>
      <c r="F152" s="12"/>
      <c r="G152" s="12"/>
    </row>
    <row r="153" spans="1:8" x14ac:dyDescent="0.2">
      <c r="A153" s="25" t="s">
        <v>22</v>
      </c>
      <c r="B153" s="59">
        <v>22.2</v>
      </c>
      <c r="C153" s="12"/>
      <c r="D153" s="12"/>
      <c r="E153" s="12"/>
      <c r="F153" s="12"/>
      <c r="G153" s="12"/>
    </row>
    <row r="154" spans="1:8" x14ac:dyDescent="0.2">
      <c r="A154" s="24" t="s">
        <v>2</v>
      </c>
      <c r="B154" s="56">
        <v>41.066600000000001</v>
      </c>
      <c r="C154" s="12"/>
      <c r="D154" s="12"/>
      <c r="E154" s="12"/>
      <c r="F154" s="12"/>
      <c r="G154" s="12"/>
    </row>
    <row r="155" spans="1:8" x14ac:dyDescent="0.2">
      <c r="A155" s="24" t="s">
        <v>3</v>
      </c>
      <c r="B155" s="56">
        <v>82.4666</v>
      </c>
      <c r="C155" s="12"/>
      <c r="D155" s="12"/>
      <c r="E155" s="12"/>
      <c r="F155" s="12"/>
      <c r="G155" s="12"/>
    </row>
    <row r="156" spans="1:8" x14ac:dyDescent="0.2">
      <c r="A156" s="24" t="s">
        <v>4</v>
      </c>
      <c r="B156" s="56">
        <v>34.200000000000003</v>
      </c>
    </row>
    <row r="157" spans="1:8" x14ac:dyDescent="0.2">
      <c r="A157" s="24" t="s">
        <v>5</v>
      </c>
      <c r="B157" s="56">
        <v>58.066600000000001</v>
      </c>
    </row>
    <row r="158" spans="1:8" x14ac:dyDescent="0.2">
      <c r="A158" s="24" t="s">
        <v>6</v>
      </c>
      <c r="B158" s="57">
        <v>27.4</v>
      </c>
    </row>
    <row r="159" spans="1:8" x14ac:dyDescent="0.2">
      <c r="A159" s="24" t="s">
        <v>7</v>
      </c>
      <c r="B159" s="57">
        <v>42.333300000000001</v>
      </c>
    </row>
    <row r="160" spans="1:8" x14ac:dyDescent="0.2">
      <c r="A160" s="24" t="s">
        <v>8</v>
      </c>
      <c r="B160" s="57">
        <v>49.533299999999997</v>
      </c>
      <c r="C160" s="12"/>
    </row>
    <row r="161" spans="1:8" x14ac:dyDescent="0.2">
      <c r="A161" s="24" t="s">
        <v>9</v>
      </c>
      <c r="B161" s="57">
        <v>24.533300000000001</v>
      </c>
      <c r="C161" s="12"/>
    </row>
    <row r="162" spans="1:8" x14ac:dyDescent="0.2">
      <c r="A162" s="24" t="s">
        <v>10</v>
      </c>
      <c r="B162" s="56">
        <v>91.4666</v>
      </c>
      <c r="C162" s="12"/>
    </row>
    <row r="163" spans="1:8" x14ac:dyDescent="0.2">
      <c r="A163" s="25" t="s">
        <v>11</v>
      </c>
      <c r="B163" s="58">
        <v>70.066599999999994</v>
      </c>
      <c r="C163" s="12"/>
    </row>
    <row r="164" spans="1:8" x14ac:dyDescent="0.2">
      <c r="C164" s="12"/>
    </row>
    <row r="165" spans="1:8" x14ac:dyDescent="0.2">
      <c r="A165" s="12" t="s">
        <v>74</v>
      </c>
      <c r="B165" s="12"/>
      <c r="C165" s="12"/>
      <c r="D165" s="12" t="s">
        <v>74</v>
      </c>
      <c r="E165" s="12"/>
      <c r="F165" s="12"/>
      <c r="G165" s="12"/>
      <c r="H165" s="12" t="s">
        <v>74</v>
      </c>
    </row>
    <row r="166" spans="1:8" x14ac:dyDescent="0.2">
      <c r="A166" s="22" t="s">
        <v>13</v>
      </c>
      <c r="B166" s="64">
        <v>7.1428571400000003</v>
      </c>
      <c r="C166" s="12"/>
      <c r="D166" s="16"/>
      <c r="E166" s="20" t="s">
        <v>12</v>
      </c>
      <c r="F166" s="17" t="s">
        <v>23</v>
      </c>
      <c r="H166" s="15" t="s">
        <v>44</v>
      </c>
    </row>
    <row r="167" spans="1:8" x14ac:dyDescent="0.2">
      <c r="A167" s="24" t="s">
        <v>14</v>
      </c>
      <c r="B167" s="65">
        <v>28.571428600000001</v>
      </c>
      <c r="C167" s="12"/>
      <c r="D167" s="18" t="s">
        <v>0</v>
      </c>
      <c r="E167" s="11">
        <f>AVERAGE(B166:B175)</f>
        <v>32.789488294000002</v>
      </c>
      <c r="F167" s="13">
        <f>AVERAGE(B176:B185)</f>
        <v>50.909356729999999</v>
      </c>
      <c r="H167" s="8" t="s">
        <v>53</v>
      </c>
    </row>
    <row r="168" spans="1:8" x14ac:dyDescent="0.2">
      <c r="A168" s="24" t="s">
        <v>15</v>
      </c>
      <c r="B168" s="65">
        <v>41.6666667</v>
      </c>
      <c r="C168" s="12"/>
      <c r="D168" s="19" t="s">
        <v>1</v>
      </c>
      <c r="E168" s="21">
        <f>STDEV(B166:B175)/SQRT(COUNT(B166:B175))</f>
        <v>6.1731201160339859</v>
      </c>
      <c r="F168" s="14">
        <f>STDEV(B176:B185)/SQRT(COUNT(B176:B185))</f>
        <v>6.9765348513962184</v>
      </c>
      <c r="H168" s="9" t="s">
        <v>54</v>
      </c>
    </row>
    <row r="169" spans="1:8" x14ac:dyDescent="0.2">
      <c r="A169" s="24" t="s">
        <v>16</v>
      </c>
      <c r="B169" s="65">
        <v>22.222222200000001</v>
      </c>
      <c r="C169" s="12"/>
      <c r="D169" s="12"/>
      <c r="E169" s="12"/>
      <c r="F169" s="12"/>
      <c r="G169" s="12"/>
    </row>
    <row r="170" spans="1:8" x14ac:dyDescent="0.2">
      <c r="A170" s="24" t="s">
        <v>17</v>
      </c>
      <c r="B170" s="56">
        <v>25</v>
      </c>
      <c r="C170" s="12"/>
      <c r="D170" s="12"/>
      <c r="E170" s="12"/>
      <c r="F170" s="12"/>
      <c r="G170" s="12"/>
    </row>
    <row r="171" spans="1:8" x14ac:dyDescent="0.2">
      <c r="A171" s="24" t="s">
        <v>18</v>
      </c>
      <c r="B171" s="65">
        <v>18.181818199999999</v>
      </c>
      <c r="C171" s="12"/>
      <c r="D171" s="12"/>
      <c r="E171" s="12"/>
      <c r="F171" s="12"/>
      <c r="G171" s="12"/>
    </row>
    <row r="172" spans="1:8" x14ac:dyDescent="0.2">
      <c r="A172" s="24" t="s">
        <v>19</v>
      </c>
      <c r="B172" s="57">
        <v>25</v>
      </c>
      <c r="C172" s="12"/>
    </row>
    <row r="173" spans="1:8" x14ac:dyDescent="0.2">
      <c r="A173" s="24" t="s">
        <v>20</v>
      </c>
      <c r="B173" s="57">
        <v>70</v>
      </c>
      <c r="C173" s="12"/>
      <c r="D173" s="12"/>
      <c r="E173" s="12"/>
      <c r="F173" s="12"/>
      <c r="G173" s="12"/>
    </row>
    <row r="174" spans="1:8" x14ac:dyDescent="0.2">
      <c r="A174" s="24" t="s">
        <v>21</v>
      </c>
      <c r="B174" s="66">
        <v>61.538461499999997</v>
      </c>
      <c r="C174" s="12"/>
      <c r="D174" s="12"/>
      <c r="E174" s="12"/>
      <c r="F174" s="12"/>
      <c r="G174" s="12"/>
    </row>
    <row r="175" spans="1:8" x14ac:dyDescent="0.2">
      <c r="A175" s="25" t="s">
        <v>22</v>
      </c>
      <c r="B175" s="67">
        <v>28.571428600000001</v>
      </c>
      <c r="C175" s="12"/>
      <c r="D175" s="12"/>
      <c r="E175" s="12"/>
      <c r="F175" s="12"/>
      <c r="G175" s="12"/>
    </row>
    <row r="176" spans="1:8" x14ac:dyDescent="0.2">
      <c r="A176" s="24" t="s">
        <v>2</v>
      </c>
      <c r="B176" s="65">
        <v>27.2727273</v>
      </c>
      <c r="C176" s="12"/>
      <c r="D176" s="12"/>
      <c r="E176" s="12"/>
      <c r="F176" s="12"/>
      <c r="G176" s="12"/>
    </row>
    <row r="177" spans="1:8" x14ac:dyDescent="0.2">
      <c r="A177" s="24" t="s">
        <v>3</v>
      </c>
      <c r="B177" s="65">
        <v>41.6666667</v>
      </c>
      <c r="C177" s="12"/>
      <c r="D177" s="12"/>
      <c r="E177" s="12"/>
      <c r="F177" s="12"/>
      <c r="G177" s="12"/>
    </row>
    <row r="178" spans="1:8" x14ac:dyDescent="0.2">
      <c r="A178" s="24" t="s">
        <v>4</v>
      </c>
      <c r="B178" s="56">
        <v>25</v>
      </c>
      <c r="C178" s="12"/>
    </row>
    <row r="179" spans="1:8" x14ac:dyDescent="0.2">
      <c r="A179" s="24" t="s">
        <v>5</v>
      </c>
      <c r="B179" s="65">
        <v>72.7272727</v>
      </c>
      <c r="C179" s="12"/>
    </row>
    <row r="180" spans="1:8" x14ac:dyDescent="0.2">
      <c r="A180" s="24" t="s">
        <v>6</v>
      </c>
      <c r="B180" s="66">
        <v>26.315789500000001</v>
      </c>
    </row>
    <row r="181" spans="1:8" x14ac:dyDescent="0.2">
      <c r="A181" s="24" t="s">
        <v>7</v>
      </c>
      <c r="B181" s="66">
        <v>44.444444400000002</v>
      </c>
    </row>
    <row r="182" spans="1:8" x14ac:dyDescent="0.2">
      <c r="A182" s="24" t="s">
        <v>8</v>
      </c>
      <c r="B182" s="57">
        <v>60</v>
      </c>
    </row>
    <row r="183" spans="1:8" x14ac:dyDescent="0.2">
      <c r="A183" s="24" t="s">
        <v>9</v>
      </c>
      <c r="B183" s="57">
        <v>50</v>
      </c>
    </row>
    <row r="184" spans="1:8" x14ac:dyDescent="0.2">
      <c r="A184" s="24" t="s">
        <v>10</v>
      </c>
      <c r="B184" s="56">
        <v>75</v>
      </c>
    </row>
    <row r="185" spans="1:8" x14ac:dyDescent="0.2">
      <c r="A185" s="25" t="s">
        <v>11</v>
      </c>
      <c r="B185" s="68">
        <v>86.666666699999993</v>
      </c>
    </row>
    <row r="187" spans="1:8" x14ac:dyDescent="0.2">
      <c r="A187" s="12" t="s">
        <v>75</v>
      </c>
      <c r="B187" s="12"/>
      <c r="C187" s="12"/>
      <c r="D187" s="12" t="s">
        <v>75</v>
      </c>
      <c r="E187" s="12"/>
      <c r="F187" s="12"/>
      <c r="G187" s="12"/>
      <c r="H187" s="12" t="s">
        <v>75</v>
      </c>
    </row>
    <row r="188" spans="1:8" x14ac:dyDescent="0.2">
      <c r="A188" s="22" t="s">
        <v>13</v>
      </c>
      <c r="B188" s="54">
        <v>120</v>
      </c>
      <c r="C188" s="12"/>
      <c r="D188" s="16"/>
      <c r="E188" s="20" t="s">
        <v>12</v>
      </c>
      <c r="F188" s="17" t="s">
        <v>23</v>
      </c>
      <c r="H188" s="15" t="s">
        <v>85</v>
      </c>
    </row>
    <row r="189" spans="1:8" x14ac:dyDescent="0.2">
      <c r="A189" s="24" t="s">
        <v>14</v>
      </c>
      <c r="B189" s="56">
        <v>78.999899999999997</v>
      </c>
      <c r="C189" s="12"/>
      <c r="D189" s="18" t="s">
        <v>0</v>
      </c>
      <c r="E189" s="11">
        <f>AVERAGE(B188:B197)</f>
        <v>89.766629999999992</v>
      </c>
      <c r="F189" s="13">
        <f>AVERAGE(B198:B207)</f>
        <v>38.986649999999997</v>
      </c>
      <c r="H189" s="8" t="s">
        <v>39</v>
      </c>
    </row>
    <row r="190" spans="1:8" x14ac:dyDescent="0.2">
      <c r="A190" s="24" t="s">
        <v>15</v>
      </c>
      <c r="B190" s="56">
        <v>97.599900000000005</v>
      </c>
      <c r="C190" s="12"/>
      <c r="D190" s="19" t="s">
        <v>1</v>
      </c>
      <c r="E190" s="21">
        <f>STDEV(B188:B197)/SQRT(COUNT(B188:B197))</f>
        <v>12.551206590966549</v>
      </c>
      <c r="F190" s="14">
        <f>STDEV(B198:B207)/SQRT(COUNT(B198:B207))</f>
        <v>14.677927535953888</v>
      </c>
      <c r="H190" s="9" t="s">
        <v>55</v>
      </c>
    </row>
    <row r="191" spans="1:8" x14ac:dyDescent="0.2">
      <c r="A191" s="24" t="s">
        <v>16</v>
      </c>
      <c r="B191" s="56">
        <v>34.866599999999998</v>
      </c>
      <c r="C191" s="12"/>
      <c r="D191" s="12"/>
      <c r="E191" s="12"/>
      <c r="F191" s="12"/>
      <c r="G191" s="12"/>
    </row>
    <row r="192" spans="1:8" x14ac:dyDescent="0.2">
      <c r="A192" s="24" t="s">
        <v>17</v>
      </c>
      <c r="B192" s="56">
        <v>120</v>
      </c>
      <c r="C192" s="12"/>
    </row>
    <row r="193" spans="1:7" x14ac:dyDescent="0.2">
      <c r="A193" s="24" t="s">
        <v>18</v>
      </c>
      <c r="B193" s="56">
        <v>120</v>
      </c>
      <c r="C193" s="12"/>
      <c r="D193" s="12"/>
      <c r="E193" s="12"/>
      <c r="F193" s="12"/>
      <c r="G193" s="12"/>
    </row>
    <row r="194" spans="1:7" x14ac:dyDescent="0.2">
      <c r="A194" s="24" t="s">
        <v>19</v>
      </c>
      <c r="B194" s="57">
        <v>120</v>
      </c>
      <c r="C194" s="12"/>
      <c r="D194" s="12"/>
      <c r="E194" s="12"/>
      <c r="F194" s="12"/>
      <c r="G194" s="12"/>
    </row>
    <row r="195" spans="1:7" x14ac:dyDescent="0.2">
      <c r="A195" s="24" t="s">
        <v>20</v>
      </c>
      <c r="B195" s="57">
        <v>75.1999</v>
      </c>
      <c r="C195" s="12"/>
      <c r="D195" s="12"/>
      <c r="E195" s="12"/>
      <c r="F195" s="12"/>
      <c r="G195" s="12"/>
    </row>
    <row r="196" spans="1:7" x14ac:dyDescent="0.2">
      <c r="A196" s="24" t="s">
        <v>21</v>
      </c>
      <c r="B196" s="57">
        <v>11</v>
      </c>
      <c r="C196" s="12"/>
      <c r="D196" s="12"/>
      <c r="E196" s="12"/>
      <c r="F196" s="12"/>
      <c r="G196" s="12"/>
    </row>
    <row r="197" spans="1:7" x14ac:dyDescent="0.2">
      <c r="A197" s="25" t="s">
        <v>22</v>
      </c>
      <c r="B197" s="59">
        <v>120</v>
      </c>
      <c r="C197" s="12"/>
      <c r="D197" s="12"/>
      <c r="E197" s="12"/>
      <c r="F197" s="12"/>
      <c r="G197" s="12"/>
    </row>
    <row r="198" spans="1:7" x14ac:dyDescent="0.2">
      <c r="A198" s="24" t="s">
        <v>2</v>
      </c>
      <c r="B198" s="56">
        <v>11.2667</v>
      </c>
      <c r="C198" s="12"/>
      <c r="D198" s="12"/>
      <c r="E198" s="12"/>
      <c r="F198" s="12"/>
      <c r="G198" s="12"/>
    </row>
    <row r="199" spans="1:7" x14ac:dyDescent="0.2">
      <c r="A199" s="24" t="s">
        <v>3</v>
      </c>
      <c r="B199" s="56">
        <v>6.59999</v>
      </c>
      <c r="C199" s="12"/>
      <c r="D199" s="12"/>
      <c r="E199" s="12"/>
      <c r="F199" s="12"/>
      <c r="G199" s="12"/>
    </row>
    <row r="200" spans="1:7" x14ac:dyDescent="0.2">
      <c r="A200" s="24" t="s">
        <v>4</v>
      </c>
      <c r="B200" s="56">
        <v>64.066599999999994</v>
      </c>
    </row>
    <row r="201" spans="1:7" x14ac:dyDescent="0.2">
      <c r="A201" s="24" t="s">
        <v>5</v>
      </c>
      <c r="B201" s="56">
        <v>9.3999900000000007</v>
      </c>
    </row>
    <row r="202" spans="1:7" x14ac:dyDescent="0.2">
      <c r="A202" s="24" t="s">
        <v>6</v>
      </c>
      <c r="B202" s="57">
        <v>120</v>
      </c>
    </row>
    <row r="203" spans="1:7" x14ac:dyDescent="0.2">
      <c r="A203" s="24" t="s">
        <v>7</v>
      </c>
      <c r="B203" s="57">
        <v>1.3333299999999999</v>
      </c>
    </row>
    <row r="204" spans="1:7" x14ac:dyDescent="0.2">
      <c r="A204" s="24" t="s">
        <v>8</v>
      </c>
      <c r="B204" s="57">
        <v>24.066600000000001</v>
      </c>
    </row>
    <row r="205" spans="1:7" x14ac:dyDescent="0.2">
      <c r="A205" s="24" t="s">
        <v>9</v>
      </c>
      <c r="B205" s="57">
        <v>4.3999899999999998</v>
      </c>
    </row>
    <row r="206" spans="1:7" x14ac:dyDescent="0.2">
      <c r="A206" s="24" t="s">
        <v>10</v>
      </c>
      <c r="B206" s="56">
        <v>120</v>
      </c>
    </row>
    <row r="207" spans="1:7" x14ac:dyDescent="0.2">
      <c r="A207" s="25" t="s">
        <v>11</v>
      </c>
      <c r="B207" s="58">
        <v>28.7333</v>
      </c>
    </row>
    <row r="209" spans="1:8" x14ac:dyDescent="0.2">
      <c r="A209" s="12" t="s">
        <v>76</v>
      </c>
      <c r="B209" s="12"/>
      <c r="C209" s="12"/>
      <c r="D209" s="12" t="s">
        <v>76</v>
      </c>
      <c r="E209" s="12"/>
      <c r="F209" s="12"/>
      <c r="G209" s="12"/>
      <c r="H209" s="12" t="s">
        <v>76</v>
      </c>
    </row>
    <row r="210" spans="1:8" x14ac:dyDescent="0.2">
      <c r="A210" s="22" t="s">
        <v>13</v>
      </c>
      <c r="B210" s="55">
        <v>79.3</v>
      </c>
      <c r="C210" s="12"/>
      <c r="D210" s="16"/>
      <c r="E210" s="20" t="s">
        <v>12</v>
      </c>
      <c r="F210" s="17" t="s">
        <v>23</v>
      </c>
      <c r="H210" s="15" t="s">
        <v>84</v>
      </c>
    </row>
    <row r="211" spans="1:8" x14ac:dyDescent="0.2">
      <c r="A211" s="24" t="s">
        <v>14</v>
      </c>
      <c r="B211" s="61">
        <v>42.933333300000001</v>
      </c>
      <c r="C211" s="12"/>
      <c r="D211" s="18" t="s">
        <v>0</v>
      </c>
      <c r="E211" s="11">
        <f>AVERAGE(B210:B219)</f>
        <v>42.376666659999998</v>
      </c>
      <c r="F211" s="13">
        <f>AVERAGE(B220:B229)</f>
        <v>62.393333329999997</v>
      </c>
      <c r="H211" s="8" t="s">
        <v>40</v>
      </c>
    </row>
    <row r="212" spans="1:8" x14ac:dyDescent="0.2">
      <c r="A212" s="24" t="s">
        <v>15</v>
      </c>
      <c r="B212" s="57">
        <v>28.8</v>
      </c>
      <c r="C212" s="12"/>
      <c r="D212" s="19" t="s">
        <v>1</v>
      </c>
      <c r="E212" s="21">
        <f>STDEV(B210:B219)/SQRT(COUNT(B210:B219))</f>
        <v>5.2939169588663662</v>
      </c>
      <c r="F212" s="14">
        <f>STDEV(B220:B229)/SQRT(COUNT(B220:B229))</f>
        <v>4.3894452498861618</v>
      </c>
      <c r="H212" s="9" t="s">
        <v>56</v>
      </c>
    </row>
    <row r="213" spans="1:8" x14ac:dyDescent="0.2">
      <c r="A213" s="24" t="s">
        <v>16</v>
      </c>
      <c r="B213" s="60">
        <v>41.3333333</v>
      </c>
      <c r="C213" s="12"/>
      <c r="D213" s="12"/>
      <c r="E213" s="12"/>
      <c r="F213" s="12"/>
      <c r="G213" s="12"/>
    </row>
    <row r="214" spans="1:8" x14ac:dyDescent="0.2">
      <c r="A214" s="24" t="s">
        <v>17</v>
      </c>
      <c r="B214" s="60">
        <v>17.1666667</v>
      </c>
      <c r="D214" s="12"/>
      <c r="E214" s="12"/>
      <c r="F214" s="12"/>
      <c r="G214" s="12"/>
    </row>
    <row r="215" spans="1:8" x14ac:dyDescent="0.2">
      <c r="A215" s="24" t="s">
        <v>18</v>
      </c>
      <c r="B215" s="61">
        <v>29.066666699999999</v>
      </c>
      <c r="C215" s="12"/>
    </row>
    <row r="216" spans="1:8" x14ac:dyDescent="0.2">
      <c r="A216" s="24" t="s">
        <v>19</v>
      </c>
      <c r="B216" s="61">
        <v>42.733333299999998</v>
      </c>
      <c r="D216" s="12"/>
      <c r="E216" s="12"/>
      <c r="F216" s="12"/>
      <c r="G216" s="12"/>
    </row>
    <row r="217" spans="1:8" x14ac:dyDescent="0.2">
      <c r="A217" s="24" t="s">
        <v>20</v>
      </c>
      <c r="B217" s="61">
        <v>41.033333300000002</v>
      </c>
      <c r="D217" s="12"/>
      <c r="E217" s="12"/>
      <c r="F217" s="12"/>
      <c r="G217" s="12"/>
    </row>
    <row r="218" spans="1:8" x14ac:dyDescent="0.2">
      <c r="A218" s="24" t="s">
        <v>21</v>
      </c>
      <c r="B218" s="61">
        <v>53.866666700000003</v>
      </c>
      <c r="C218" s="12"/>
      <c r="D218" s="12"/>
      <c r="F218" s="12"/>
      <c r="G218" s="12"/>
    </row>
    <row r="219" spans="1:8" x14ac:dyDescent="0.2">
      <c r="A219" s="25" t="s">
        <v>22</v>
      </c>
      <c r="B219" s="62">
        <v>47.533333300000002</v>
      </c>
      <c r="D219" s="12"/>
      <c r="F219" s="12"/>
      <c r="G219" s="12"/>
    </row>
    <row r="220" spans="1:8" x14ac:dyDescent="0.2">
      <c r="A220" s="24" t="s">
        <v>2</v>
      </c>
      <c r="B220" s="69">
        <v>50.266666700000002</v>
      </c>
      <c r="D220" s="12"/>
      <c r="F220" s="12"/>
      <c r="G220" s="12"/>
    </row>
    <row r="221" spans="1:8" x14ac:dyDescent="0.2">
      <c r="A221" s="24" t="s">
        <v>3</v>
      </c>
      <c r="B221" s="57">
        <v>75.099999999999994</v>
      </c>
      <c r="D221" s="12"/>
      <c r="F221" s="12"/>
      <c r="G221" s="12"/>
    </row>
    <row r="222" spans="1:8" x14ac:dyDescent="0.2">
      <c r="A222" s="24" t="s">
        <v>4</v>
      </c>
      <c r="B222" s="61">
        <v>52.733333299999998</v>
      </c>
    </row>
    <row r="223" spans="1:8" x14ac:dyDescent="0.2">
      <c r="A223" s="24" t="s">
        <v>5</v>
      </c>
      <c r="B223" s="61">
        <v>55.766666700000002</v>
      </c>
      <c r="C223" s="12"/>
    </row>
    <row r="224" spans="1:8" x14ac:dyDescent="0.2">
      <c r="A224" s="24" t="s">
        <v>6</v>
      </c>
      <c r="B224" s="61">
        <v>63.133333299999997</v>
      </c>
    </row>
    <row r="225" spans="1:9" x14ac:dyDescent="0.2">
      <c r="A225" s="24" t="s">
        <v>7</v>
      </c>
      <c r="B225" s="61">
        <v>58.133333299999997</v>
      </c>
    </row>
    <row r="226" spans="1:9" x14ac:dyDescent="0.2">
      <c r="A226" s="24" t="s">
        <v>8</v>
      </c>
      <c r="B226" s="61">
        <v>38.766666700000002</v>
      </c>
    </row>
    <row r="227" spans="1:9" x14ac:dyDescent="0.2">
      <c r="A227" s="24" t="s">
        <v>9</v>
      </c>
      <c r="B227" s="61">
        <v>70.833333300000007</v>
      </c>
      <c r="C227" s="12"/>
    </row>
    <row r="228" spans="1:9" x14ac:dyDescent="0.2">
      <c r="A228" s="24" t="s">
        <v>10</v>
      </c>
      <c r="B228" s="57">
        <v>74.7</v>
      </c>
      <c r="C228" s="12"/>
      <c r="E228" s="12"/>
    </row>
    <row r="229" spans="1:9" x14ac:dyDescent="0.2">
      <c r="A229" s="25" t="s">
        <v>11</v>
      </c>
      <c r="B229" s="59">
        <v>84.5</v>
      </c>
      <c r="E229" s="12"/>
      <c r="F229" s="12"/>
      <c r="G229" s="12"/>
    </row>
    <row r="231" spans="1:9" x14ac:dyDescent="0.2">
      <c r="A231" s="12" t="s">
        <v>77</v>
      </c>
      <c r="B231" s="12"/>
      <c r="C231" s="12"/>
      <c r="D231" s="12" t="s">
        <v>77</v>
      </c>
      <c r="E231" s="12"/>
      <c r="F231" s="12"/>
      <c r="G231" s="12"/>
      <c r="H231" s="12" t="s">
        <v>77</v>
      </c>
    </row>
    <row r="232" spans="1:9" x14ac:dyDescent="0.2">
      <c r="A232" s="22" t="s">
        <v>13</v>
      </c>
      <c r="B232" s="2">
        <v>35</v>
      </c>
      <c r="C232" s="12"/>
      <c r="D232" s="16"/>
      <c r="E232" s="20" t="s">
        <v>12</v>
      </c>
      <c r="F232" s="17" t="s">
        <v>23</v>
      </c>
      <c r="H232" s="15" t="s">
        <v>84</v>
      </c>
    </row>
    <row r="233" spans="1:9" ht="16" x14ac:dyDescent="0.2">
      <c r="A233" s="24" t="s">
        <v>14</v>
      </c>
      <c r="B233" s="3">
        <v>96</v>
      </c>
      <c r="C233" s="12"/>
      <c r="D233" s="18" t="s">
        <v>0</v>
      </c>
      <c r="E233" s="11">
        <f>AVERAGE(B232:B241)</f>
        <v>81.5</v>
      </c>
      <c r="F233" s="13">
        <f>AVERAGE(B242:B251)</f>
        <v>182.3</v>
      </c>
      <c r="H233" s="28" t="s">
        <v>83</v>
      </c>
    </row>
    <row r="234" spans="1:9" x14ac:dyDescent="0.2">
      <c r="A234" s="24" t="s">
        <v>15</v>
      </c>
      <c r="B234" s="3">
        <v>49</v>
      </c>
      <c r="C234" s="12"/>
      <c r="D234" s="19" t="s">
        <v>1</v>
      </c>
      <c r="E234" s="21">
        <f>STDEV(B232:B241)/SQRT(COUNT(B232:B241))</f>
        <v>10.238543733255124</v>
      </c>
      <c r="F234" s="14">
        <f>STDEV(B242:B251)/SQRT(COUNT(B242:B251))</f>
        <v>16.047187361722361</v>
      </c>
      <c r="H234" s="9" t="s">
        <v>57</v>
      </c>
      <c r="I234" s="29"/>
    </row>
    <row r="235" spans="1:9" x14ac:dyDescent="0.2">
      <c r="A235" s="24" t="s">
        <v>16</v>
      </c>
      <c r="B235" s="3">
        <v>147</v>
      </c>
      <c r="C235" s="12"/>
    </row>
    <row r="236" spans="1:9" x14ac:dyDescent="0.2">
      <c r="A236" s="24" t="s">
        <v>17</v>
      </c>
      <c r="B236" s="3">
        <v>72</v>
      </c>
      <c r="C236" s="12"/>
      <c r="D236" s="12"/>
      <c r="E236" s="12"/>
      <c r="F236" s="12"/>
      <c r="G236" s="12"/>
      <c r="I236" s="29"/>
    </row>
    <row r="237" spans="1:9" x14ac:dyDescent="0.2">
      <c r="A237" s="24" t="s">
        <v>18</v>
      </c>
      <c r="B237" s="3">
        <v>72</v>
      </c>
      <c r="C237" s="12"/>
      <c r="D237" s="12"/>
      <c r="E237" s="12"/>
      <c r="F237" s="12"/>
      <c r="G237" s="12"/>
      <c r="I237" s="29"/>
    </row>
    <row r="238" spans="1:9" x14ac:dyDescent="0.2">
      <c r="A238" s="24" t="s">
        <v>19</v>
      </c>
      <c r="B238" s="4">
        <v>62</v>
      </c>
      <c r="C238" s="12"/>
      <c r="D238" s="12"/>
      <c r="E238" s="12"/>
      <c r="F238" s="12"/>
      <c r="G238" s="12"/>
    </row>
    <row r="239" spans="1:9" x14ac:dyDescent="0.2">
      <c r="A239" s="24" t="s">
        <v>20</v>
      </c>
      <c r="B239" s="4">
        <v>95</v>
      </c>
      <c r="C239" s="12"/>
      <c r="D239" s="12"/>
      <c r="F239" s="12"/>
      <c r="G239" s="12"/>
    </row>
    <row r="240" spans="1:9" x14ac:dyDescent="0.2">
      <c r="A240" s="24" t="s">
        <v>21</v>
      </c>
      <c r="B240" s="4">
        <v>75</v>
      </c>
      <c r="C240" s="12"/>
      <c r="D240" s="12"/>
      <c r="E240" s="12"/>
      <c r="F240" s="12"/>
      <c r="G240" s="12"/>
      <c r="I240" s="29"/>
    </row>
    <row r="241" spans="1:9" x14ac:dyDescent="0.2">
      <c r="A241" s="25" t="s">
        <v>22</v>
      </c>
      <c r="B241" s="5">
        <v>112</v>
      </c>
      <c r="C241" s="12"/>
      <c r="D241" s="12"/>
      <c r="E241" s="12"/>
      <c r="F241" s="12"/>
      <c r="G241" s="12"/>
      <c r="I241" s="29"/>
    </row>
    <row r="242" spans="1:9" x14ac:dyDescent="0.2">
      <c r="A242" s="24" t="s">
        <v>2</v>
      </c>
      <c r="B242" s="1">
        <v>205</v>
      </c>
      <c r="C242" s="12"/>
      <c r="D242" s="12"/>
      <c r="E242" s="12"/>
      <c r="F242" s="12"/>
      <c r="G242" s="12"/>
    </row>
    <row r="243" spans="1:9" x14ac:dyDescent="0.2">
      <c r="A243" s="24" t="s">
        <v>3</v>
      </c>
      <c r="B243" s="3">
        <v>151</v>
      </c>
      <c r="C243" s="12"/>
      <c r="D243" s="12"/>
      <c r="E243" s="12"/>
      <c r="F243" s="12"/>
      <c r="G243" s="12"/>
    </row>
    <row r="244" spans="1:9" x14ac:dyDescent="0.2">
      <c r="A244" s="24" t="s">
        <v>4</v>
      </c>
      <c r="B244" s="3">
        <v>143</v>
      </c>
    </row>
    <row r="245" spans="1:9" x14ac:dyDescent="0.2">
      <c r="A245" s="24" t="s">
        <v>5</v>
      </c>
      <c r="B245" s="3">
        <v>250</v>
      </c>
    </row>
    <row r="246" spans="1:9" x14ac:dyDescent="0.2">
      <c r="A246" s="24" t="s">
        <v>6</v>
      </c>
      <c r="B246" s="4">
        <v>260</v>
      </c>
    </row>
    <row r="247" spans="1:9" x14ac:dyDescent="0.2">
      <c r="A247" s="24" t="s">
        <v>7</v>
      </c>
      <c r="B247" s="4">
        <v>159</v>
      </c>
    </row>
    <row r="248" spans="1:9" x14ac:dyDescent="0.2">
      <c r="A248" s="24" t="s">
        <v>8</v>
      </c>
      <c r="B248" s="4">
        <v>225</v>
      </c>
    </row>
    <row r="249" spans="1:9" x14ac:dyDescent="0.2">
      <c r="A249" s="24" t="s">
        <v>9</v>
      </c>
      <c r="B249" s="4">
        <v>160</v>
      </c>
    </row>
    <row r="250" spans="1:9" x14ac:dyDescent="0.2">
      <c r="A250" s="24" t="s">
        <v>10</v>
      </c>
      <c r="B250" s="3">
        <v>168</v>
      </c>
    </row>
    <row r="251" spans="1:9" x14ac:dyDescent="0.2">
      <c r="A251" s="25" t="s">
        <v>11</v>
      </c>
      <c r="B251" s="5">
        <v>102</v>
      </c>
    </row>
    <row r="253" spans="1:9" x14ac:dyDescent="0.2">
      <c r="A253" s="12" t="s">
        <v>78</v>
      </c>
      <c r="B253" s="12"/>
      <c r="C253" s="12"/>
      <c r="D253" s="12" t="s">
        <v>78</v>
      </c>
      <c r="E253" s="12"/>
      <c r="F253" s="12"/>
      <c r="G253" s="12"/>
      <c r="H253" s="12" t="s">
        <v>78</v>
      </c>
    </row>
    <row r="254" spans="1:9" x14ac:dyDescent="0.2">
      <c r="A254" s="22" t="s">
        <v>13</v>
      </c>
      <c r="B254" s="64">
        <v>8.4166667000000004</v>
      </c>
      <c r="C254" s="12"/>
      <c r="D254" s="16"/>
      <c r="E254" s="20" t="s">
        <v>12</v>
      </c>
      <c r="F254" s="17" t="s">
        <v>23</v>
      </c>
      <c r="H254" s="15" t="s">
        <v>85</v>
      </c>
    </row>
    <row r="255" spans="1:9" x14ac:dyDescent="0.2">
      <c r="A255" s="24" t="s">
        <v>14</v>
      </c>
      <c r="B255" s="56">
        <v>5.5</v>
      </c>
      <c r="C255" s="12"/>
      <c r="D255" s="18" t="s">
        <v>0</v>
      </c>
      <c r="E255" s="11">
        <f>AVERAGE(B254:B263)</f>
        <v>6.0633333499999997</v>
      </c>
      <c r="F255" s="13">
        <f>AVERAGE(B264:B273)</f>
        <v>16.774996999999999</v>
      </c>
      <c r="H255" s="8" t="s">
        <v>41</v>
      </c>
    </row>
    <row r="256" spans="1:9" x14ac:dyDescent="0.2">
      <c r="A256" s="24" t="s">
        <v>15</v>
      </c>
      <c r="B256" s="56">
        <v>7.1</v>
      </c>
      <c r="C256" s="12"/>
      <c r="D256" s="19" t="s">
        <v>1</v>
      </c>
      <c r="E256" s="21">
        <f>STDEV(B254:B263)/SQRT(COUNT(B254:B263))</f>
        <v>0.61533790906568864</v>
      </c>
      <c r="F256" s="14">
        <f>STDEV(B264:B273)/SQRT(COUNT(B264:B273))</f>
        <v>3.8789185640593877</v>
      </c>
      <c r="H256" s="9" t="s">
        <v>64</v>
      </c>
    </row>
    <row r="257" spans="1:7" x14ac:dyDescent="0.2">
      <c r="A257" s="24" t="s">
        <v>16</v>
      </c>
      <c r="B257" s="56">
        <v>7.5</v>
      </c>
      <c r="C257" s="12"/>
    </row>
    <row r="258" spans="1:7" x14ac:dyDescent="0.2">
      <c r="A258" s="24" t="s">
        <v>17</v>
      </c>
      <c r="B258" s="65">
        <v>6.6166666999999997</v>
      </c>
      <c r="C258" s="12"/>
      <c r="D258" s="12"/>
      <c r="E258" s="12"/>
      <c r="F258" s="12"/>
      <c r="G258" s="12"/>
    </row>
    <row r="259" spans="1:7" x14ac:dyDescent="0.2">
      <c r="A259" s="24" t="s">
        <v>18</v>
      </c>
      <c r="B259" s="65">
        <v>4.5666666999999999</v>
      </c>
      <c r="C259" s="12"/>
      <c r="D259" s="12"/>
      <c r="E259" s="12"/>
      <c r="F259" s="12"/>
      <c r="G259" s="12"/>
    </row>
    <row r="260" spans="1:7" x14ac:dyDescent="0.2">
      <c r="A260" s="24" t="s">
        <v>19</v>
      </c>
      <c r="B260" s="66">
        <v>4.2166667000000002</v>
      </c>
      <c r="C260" s="12"/>
      <c r="D260" s="12"/>
      <c r="E260" s="12"/>
      <c r="F260" s="12"/>
      <c r="G260" s="12"/>
    </row>
    <row r="261" spans="1:7" x14ac:dyDescent="0.2">
      <c r="A261" s="24" t="s">
        <v>20</v>
      </c>
      <c r="B261" s="66">
        <v>4.0333332999999998</v>
      </c>
      <c r="C261" s="12"/>
      <c r="D261" s="12"/>
      <c r="E261" s="12"/>
      <c r="F261" s="12"/>
      <c r="G261" s="12"/>
    </row>
    <row r="262" spans="1:7" x14ac:dyDescent="0.2">
      <c r="A262" s="24" t="s">
        <v>21</v>
      </c>
      <c r="B262" s="66">
        <v>9.0666667000000007</v>
      </c>
      <c r="C262" s="12"/>
      <c r="D262" s="12"/>
      <c r="E262" s="12"/>
      <c r="F262" s="12"/>
      <c r="G262" s="12"/>
    </row>
    <row r="263" spans="1:7" x14ac:dyDescent="0.2">
      <c r="A263" s="25" t="s">
        <v>22</v>
      </c>
      <c r="B263" s="67">
        <v>3.6166667000000001</v>
      </c>
      <c r="C263" s="12"/>
      <c r="D263" s="12"/>
      <c r="E263" s="12"/>
      <c r="F263" s="12"/>
      <c r="G263" s="12"/>
    </row>
    <row r="264" spans="1:7" x14ac:dyDescent="0.2">
      <c r="A264" s="24" t="s">
        <v>2</v>
      </c>
      <c r="B264" s="65">
        <v>36.533299999999997</v>
      </c>
      <c r="C264" s="12"/>
      <c r="D264" s="12"/>
      <c r="E264" s="12"/>
      <c r="F264" s="12"/>
      <c r="G264" s="12"/>
    </row>
    <row r="265" spans="1:7" x14ac:dyDescent="0.2">
      <c r="A265" s="24" t="s">
        <v>3</v>
      </c>
      <c r="B265" s="65">
        <v>39.033299999999997</v>
      </c>
      <c r="C265" s="12"/>
      <c r="D265" s="12"/>
      <c r="E265" s="12"/>
      <c r="F265" s="12"/>
      <c r="G265" s="12"/>
    </row>
    <row r="266" spans="1:7" x14ac:dyDescent="0.2">
      <c r="A266" s="24" t="s">
        <v>4</v>
      </c>
      <c r="B266" s="65">
        <v>19.816700000000001</v>
      </c>
    </row>
    <row r="267" spans="1:7" x14ac:dyDescent="0.2">
      <c r="A267" s="24" t="s">
        <v>5</v>
      </c>
      <c r="B267" s="65">
        <v>21.083300000000001</v>
      </c>
    </row>
    <row r="268" spans="1:7" x14ac:dyDescent="0.2">
      <c r="A268" s="24" t="s">
        <v>6</v>
      </c>
      <c r="B268" s="66">
        <v>9.6666699999999999</v>
      </c>
    </row>
    <row r="269" spans="1:7" x14ac:dyDescent="0.2">
      <c r="A269" s="24" t="s">
        <v>7</v>
      </c>
      <c r="B269" s="66">
        <v>8.3833300000000008</v>
      </c>
    </row>
    <row r="270" spans="1:7" x14ac:dyDescent="0.2">
      <c r="A270" s="24" t="s">
        <v>8</v>
      </c>
      <c r="B270" s="66">
        <v>5.4166699999999999</v>
      </c>
    </row>
    <row r="271" spans="1:7" x14ac:dyDescent="0.2">
      <c r="A271" s="24" t="s">
        <v>9</v>
      </c>
      <c r="B271" s="66">
        <v>7.5666700000000002</v>
      </c>
    </row>
    <row r="272" spans="1:7" x14ac:dyDescent="0.2">
      <c r="A272" s="24" t="s">
        <v>10</v>
      </c>
      <c r="B272" s="65">
        <v>7.1833299999999998</v>
      </c>
    </row>
    <row r="273" spans="1:8" x14ac:dyDescent="0.2">
      <c r="A273" s="25" t="s">
        <v>11</v>
      </c>
      <c r="B273" s="68">
        <v>13.066700000000001</v>
      </c>
    </row>
    <row r="275" spans="1:8" x14ac:dyDescent="0.2">
      <c r="A275" s="12" t="s">
        <v>79</v>
      </c>
      <c r="B275" s="12"/>
      <c r="C275" s="12"/>
      <c r="D275" s="12" t="s">
        <v>79</v>
      </c>
      <c r="E275" s="12"/>
      <c r="F275" s="12"/>
      <c r="G275" s="12"/>
      <c r="H275" s="12" t="s">
        <v>79</v>
      </c>
    </row>
    <row r="276" spans="1:8" x14ac:dyDescent="0.2">
      <c r="A276" s="22" t="s">
        <v>13</v>
      </c>
      <c r="B276" s="54">
        <v>101</v>
      </c>
      <c r="C276" s="12"/>
      <c r="D276" s="16"/>
      <c r="E276" s="20" t="s">
        <v>12</v>
      </c>
      <c r="F276" s="17" t="s">
        <v>23</v>
      </c>
      <c r="H276" s="15" t="s">
        <v>85</v>
      </c>
    </row>
    <row r="277" spans="1:8" x14ac:dyDescent="0.2">
      <c r="A277" s="24" t="s">
        <v>14</v>
      </c>
      <c r="B277" s="56">
        <v>66</v>
      </c>
      <c r="C277" s="12"/>
      <c r="D277" s="18" t="s">
        <v>0</v>
      </c>
      <c r="E277" s="11">
        <f>AVERAGE(B276:B285)</f>
        <v>72.759999999999991</v>
      </c>
      <c r="F277" s="13">
        <f>AVERAGE(B286:B295)</f>
        <v>201.29999999999998</v>
      </c>
      <c r="H277" s="8" t="s">
        <v>41</v>
      </c>
    </row>
    <row r="278" spans="1:8" x14ac:dyDescent="0.2">
      <c r="A278" s="24" t="s">
        <v>15</v>
      </c>
      <c r="B278" s="56">
        <v>85.2</v>
      </c>
      <c r="C278" s="12"/>
      <c r="D278" s="19" t="s">
        <v>1</v>
      </c>
      <c r="E278" s="21">
        <f>STDEV(B276:B285)/SQRT(COUNT(B276:B285))</f>
        <v>7.3840548932593091</v>
      </c>
      <c r="F278" s="14">
        <f>STDEV(B286:B295)/SQRT(COUNT(B286:B295))</f>
        <v>46.547077721855366</v>
      </c>
      <c r="H278" s="9" t="s">
        <v>58</v>
      </c>
    </row>
    <row r="279" spans="1:8" x14ac:dyDescent="0.2">
      <c r="A279" s="24" t="s">
        <v>16</v>
      </c>
      <c r="B279" s="56">
        <v>90</v>
      </c>
      <c r="C279" s="12"/>
    </row>
    <row r="280" spans="1:8" x14ac:dyDescent="0.2">
      <c r="A280" s="24" t="s">
        <v>17</v>
      </c>
      <c r="B280" s="56">
        <v>79.400000000000006</v>
      </c>
      <c r="C280" s="12"/>
      <c r="D280" s="12"/>
      <c r="E280" s="12"/>
      <c r="F280" s="12"/>
      <c r="G280" s="12"/>
    </row>
    <row r="281" spans="1:8" x14ac:dyDescent="0.2">
      <c r="A281" s="24" t="s">
        <v>18</v>
      </c>
      <c r="B281" s="56">
        <v>54.8</v>
      </c>
      <c r="C281" s="12"/>
      <c r="D281" s="12"/>
      <c r="E281" s="12"/>
      <c r="F281" s="12"/>
      <c r="G281" s="12"/>
    </row>
    <row r="282" spans="1:8" x14ac:dyDescent="0.2">
      <c r="A282" s="24" t="s">
        <v>19</v>
      </c>
      <c r="B282" s="57">
        <v>50.6</v>
      </c>
      <c r="C282" s="12"/>
      <c r="D282" s="12"/>
      <c r="E282" s="12"/>
      <c r="F282" s="12"/>
      <c r="G282" s="12"/>
    </row>
    <row r="283" spans="1:8" x14ac:dyDescent="0.2">
      <c r="A283" s="24" t="s">
        <v>20</v>
      </c>
      <c r="B283" s="57">
        <v>48.4</v>
      </c>
      <c r="C283" s="12"/>
      <c r="D283" s="12"/>
      <c r="E283" s="12"/>
      <c r="F283" s="12"/>
      <c r="G283" s="12"/>
    </row>
    <row r="284" spans="1:8" x14ac:dyDescent="0.2">
      <c r="A284" s="24" t="s">
        <v>21</v>
      </c>
      <c r="B284" s="57">
        <v>108.8</v>
      </c>
      <c r="C284" s="12"/>
      <c r="D284" s="12"/>
      <c r="E284" s="12"/>
      <c r="F284" s="12"/>
      <c r="G284" s="12"/>
    </row>
    <row r="285" spans="1:8" x14ac:dyDescent="0.2">
      <c r="A285" s="25" t="s">
        <v>22</v>
      </c>
      <c r="B285" s="59">
        <v>43.4</v>
      </c>
      <c r="C285" s="12"/>
      <c r="D285" s="12"/>
      <c r="E285" s="12"/>
      <c r="F285" s="12"/>
      <c r="G285" s="12"/>
    </row>
    <row r="286" spans="1:8" x14ac:dyDescent="0.2">
      <c r="A286" s="24" t="s">
        <v>2</v>
      </c>
      <c r="B286" s="56">
        <v>438.4</v>
      </c>
      <c r="C286" s="12"/>
      <c r="D286" s="12"/>
      <c r="E286" s="12"/>
      <c r="F286" s="12"/>
      <c r="G286" s="12"/>
    </row>
    <row r="287" spans="1:8" x14ac:dyDescent="0.2">
      <c r="A287" s="24" t="s">
        <v>3</v>
      </c>
      <c r="B287" s="56">
        <v>468.4</v>
      </c>
      <c r="C287" s="12"/>
      <c r="D287" s="12"/>
      <c r="E287" s="12"/>
      <c r="F287" s="12"/>
      <c r="G287" s="12"/>
    </row>
    <row r="288" spans="1:8" x14ac:dyDescent="0.2">
      <c r="A288" s="24" t="s">
        <v>4</v>
      </c>
      <c r="B288" s="56">
        <v>237.8</v>
      </c>
    </row>
    <row r="289" spans="1:19" x14ac:dyDescent="0.2">
      <c r="A289" s="24" t="s">
        <v>5</v>
      </c>
      <c r="B289" s="56">
        <v>253</v>
      </c>
    </row>
    <row r="290" spans="1:19" x14ac:dyDescent="0.2">
      <c r="A290" s="24" t="s">
        <v>6</v>
      </c>
      <c r="B290" s="57">
        <v>116</v>
      </c>
    </row>
    <row r="291" spans="1:19" x14ac:dyDescent="0.2">
      <c r="A291" s="24" t="s">
        <v>7</v>
      </c>
      <c r="B291" s="57">
        <v>100.6</v>
      </c>
    </row>
    <row r="292" spans="1:19" x14ac:dyDescent="0.2">
      <c r="A292" s="24" t="s">
        <v>8</v>
      </c>
      <c r="B292" s="57">
        <v>65</v>
      </c>
    </row>
    <row r="293" spans="1:19" x14ac:dyDescent="0.2">
      <c r="A293" s="24" t="s">
        <v>9</v>
      </c>
      <c r="B293" s="57">
        <v>90.8</v>
      </c>
    </row>
    <row r="294" spans="1:19" x14ac:dyDescent="0.2">
      <c r="A294" s="24" t="s">
        <v>10</v>
      </c>
      <c r="B294" s="56">
        <v>86.2</v>
      </c>
    </row>
    <row r="295" spans="1:19" x14ac:dyDescent="0.2">
      <c r="A295" s="25" t="s">
        <v>11</v>
      </c>
      <c r="B295" s="58">
        <v>156.80000000000001</v>
      </c>
    </row>
    <row r="296" spans="1:19" x14ac:dyDescent="0.2">
      <c r="M296" s="12" t="s">
        <v>80</v>
      </c>
      <c r="Q296" s="12" t="s">
        <v>80</v>
      </c>
    </row>
    <row r="297" spans="1:19" x14ac:dyDescent="0.2">
      <c r="A297" s="12" t="s">
        <v>80</v>
      </c>
      <c r="M297" s="79" t="s">
        <v>12</v>
      </c>
      <c r="N297" s="80"/>
      <c r="O297" s="81"/>
      <c r="Q297" s="30" t="s">
        <v>89</v>
      </c>
      <c r="R297" s="20"/>
      <c r="S297" s="17"/>
    </row>
    <row r="298" spans="1:19" x14ac:dyDescent="0.2">
      <c r="A298" s="16" t="s">
        <v>27</v>
      </c>
      <c r="B298" s="74" t="s">
        <v>12</v>
      </c>
      <c r="C298" s="74"/>
      <c r="D298" s="74"/>
      <c r="E298" s="74"/>
      <c r="F298" s="74"/>
      <c r="G298" s="74"/>
      <c r="H298" s="74"/>
      <c r="I298" s="74"/>
      <c r="J298" s="74"/>
      <c r="K298" s="75"/>
      <c r="M298" s="15" t="s">
        <v>27</v>
      </c>
      <c r="N298" s="20" t="s">
        <v>28</v>
      </c>
      <c r="O298" s="15" t="s">
        <v>1</v>
      </c>
      <c r="Q298" s="18" t="s">
        <v>27</v>
      </c>
      <c r="R298" s="11" t="s">
        <v>60</v>
      </c>
      <c r="S298" s="31" t="s">
        <v>42</v>
      </c>
    </row>
    <row r="299" spans="1:19" x14ac:dyDescent="0.2">
      <c r="A299" s="70">
        <v>0</v>
      </c>
      <c r="B299" s="33">
        <v>93</v>
      </c>
      <c r="C299" s="34">
        <v>80</v>
      </c>
      <c r="D299" s="34">
        <v>118</v>
      </c>
      <c r="E299" s="34">
        <v>145</v>
      </c>
      <c r="F299" s="34">
        <v>156</v>
      </c>
      <c r="G299" s="34">
        <v>109</v>
      </c>
      <c r="H299" s="34">
        <v>146</v>
      </c>
      <c r="I299" s="34">
        <v>108</v>
      </c>
      <c r="J299" s="34">
        <v>70</v>
      </c>
      <c r="K299" s="35">
        <v>159</v>
      </c>
      <c r="M299" s="57">
        <v>0</v>
      </c>
      <c r="N299" s="33">
        <f t="shared" ref="N299:N305" si="0">AVERAGE(B299:K299)</f>
        <v>118.4</v>
      </c>
      <c r="O299" s="35">
        <f>STDEV(B299:K299)/SQRT(COUNT(B299:K299))</f>
        <v>10.105224171464751</v>
      </c>
      <c r="Q299" s="16">
        <v>0</v>
      </c>
      <c r="R299" s="71">
        <v>0.28849999999999998</v>
      </c>
      <c r="S299" s="35">
        <v>-25.9</v>
      </c>
    </row>
    <row r="300" spans="1:19" x14ac:dyDescent="0.2">
      <c r="A300" s="70">
        <v>15</v>
      </c>
      <c r="B300" s="70">
        <v>362</v>
      </c>
      <c r="C300" s="36">
        <v>307</v>
      </c>
      <c r="D300" s="36">
        <v>352</v>
      </c>
      <c r="E300" s="36">
        <v>330</v>
      </c>
      <c r="F300" s="36">
        <v>298</v>
      </c>
      <c r="G300" s="36">
        <v>292</v>
      </c>
      <c r="H300" s="36">
        <v>354</v>
      </c>
      <c r="I300" s="36">
        <v>278</v>
      </c>
      <c r="J300" s="36">
        <v>312</v>
      </c>
      <c r="K300" s="42">
        <v>293</v>
      </c>
      <c r="M300" s="57">
        <v>15</v>
      </c>
      <c r="N300" s="70">
        <f t="shared" si="0"/>
        <v>317.8</v>
      </c>
      <c r="O300" s="42">
        <f t="shared" ref="O300:O304" si="1">STDEV(B300:K300)/SQRT(COUNT(B300:K300))</f>
        <v>9.421960164070601</v>
      </c>
      <c r="Q300" s="18">
        <v>15</v>
      </c>
      <c r="R300" s="72">
        <v>1.1599999999999999E-2</v>
      </c>
      <c r="S300" s="42">
        <v>-52</v>
      </c>
    </row>
    <row r="301" spans="1:19" x14ac:dyDescent="0.2">
      <c r="A301" s="70">
        <v>30</v>
      </c>
      <c r="B301" s="70">
        <v>289</v>
      </c>
      <c r="C301" s="36">
        <v>223</v>
      </c>
      <c r="D301" s="36">
        <v>379</v>
      </c>
      <c r="E301" s="36">
        <v>364</v>
      </c>
      <c r="F301" s="36">
        <v>317</v>
      </c>
      <c r="G301" s="36">
        <v>345</v>
      </c>
      <c r="H301" s="36">
        <v>332</v>
      </c>
      <c r="I301" s="36">
        <v>299</v>
      </c>
      <c r="J301" s="36">
        <v>266</v>
      </c>
      <c r="K301" s="42">
        <v>235</v>
      </c>
      <c r="M301" s="57">
        <v>30</v>
      </c>
      <c r="N301" s="70">
        <f t="shared" si="0"/>
        <v>304.89999999999998</v>
      </c>
      <c r="O301" s="42">
        <f t="shared" si="1"/>
        <v>16.622240790245133</v>
      </c>
      <c r="Q301" s="18">
        <v>30</v>
      </c>
      <c r="R301" s="72">
        <v>6.4999999999999997E-3</v>
      </c>
      <c r="S301" s="42">
        <v>-79.399999999999977</v>
      </c>
    </row>
    <row r="302" spans="1:19" x14ac:dyDescent="0.2">
      <c r="A302" s="70">
        <v>45</v>
      </c>
      <c r="B302" s="70">
        <v>240</v>
      </c>
      <c r="C302" s="36">
        <v>253</v>
      </c>
      <c r="D302" s="36">
        <v>283</v>
      </c>
      <c r="E302" s="36">
        <v>271</v>
      </c>
      <c r="F302" s="36">
        <v>269</v>
      </c>
      <c r="G302" s="36">
        <v>281</v>
      </c>
      <c r="H302" s="36">
        <v>227</v>
      </c>
      <c r="I302" s="36">
        <v>268</v>
      </c>
      <c r="J302" s="36">
        <v>223</v>
      </c>
      <c r="K302" s="42">
        <v>210</v>
      </c>
      <c r="M302" s="57">
        <v>45</v>
      </c>
      <c r="N302" s="70">
        <f t="shared" si="0"/>
        <v>252.5</v>
      </c>
      <c r="O302" s="42">
        <f t="shared" si="1"/>
        <v>8.2195566249713927</v>
      </c>
      <c r="Q302" s="18">
        <v>45</v>
      </c>
      <c r="R302" s="72">
        <v>1E-4</v>
      </c>
      <c r="S302" s="42">
        <v>-60.099999999999994</v>
      </c>
    </row>
    <row r="303" spans="1:19" x14ac:dyDescent="0.2">
      <c r="A303" s="70">
        <v>60</v>
      </c>
      <c r="B303" s="70">
        <v>199</v>
      </c>
      <c r="C303" s="36">
        <v>197</v>
      </c>
      <c r="D303" s="36">
        <v>228</v>
      </c>
      <c r="E303" s="36">
        <v>219</v>
      </c>
      <c r="F303" s="36">
        <v>194</v>
      </c>
      <c r="G303" s="36">
        <v>189</v>
      </c>
      <c r="H303" s="36">
        <v>223</v>
      </c>
      <c r="I303" s="36">
        <v>259</v>
      </c>
      <c r="J303" s="36">
        <v>198</v>
      </c>
      <c r="K303" s="42">
        <v>201</v>
      </c>
      <c r="M303" s="57">
        <v>60</v>
      </c>
      <c r="N303" s="70">
        <f t="shared" si="0"/>
        <v>210.7</v>
      </c>
      <c r="O303" s="42">
        <f t="shared" si="1"/>
        <v>6.8167277910869943</v>
      </c>
      <c r="Q303" s="18">
        <v>60</v>
      </c>
      <c r="R303" s="72">
        <v>1E-3</v>
      </c>
      <c r="S303" s="42">
        <v>-40.299999999999983</v>
      </c>
    </row>
    <row r="304" spans="1:19" x14ac:dyDescent="0.2">
      <c r="A304" s="70">
        <v>90</v>
      </c>
      <c r="B304" s="70">
        <v>176</v>
      </c>
      <c r="C304" s="36">
        <v>142</v>
      </c>
      <c r="D304" s="36">
        <v>176</v>
      </c>
      <c r="E304" s="36">
        <v>183</v>
      </c>
      <c r="F304" s="36">
        <v>166</v>
      </c>
      <c r="G304" s="36">
        <v>136</v>
      </c>
      <c r="H304" s="36">
        <v>188</v>
      </c>
      <c r="I304" s="36">
        <v>214</v>
      </c>
      <c r="J304" s="36">
        <v>110</v>
      </c>
      <c r="K304" s="42">
        <v>166</v>
      </c>
      <c r="M304" s="57">
        <v>90</v>
      </c>
      <c r="N304" s="70">
        <f t="shared" si="0"/>
        <v>165.7</v>
      </c>
      <c r="O304" s="42">
        <f t="shared" si="1"/>
        <v>9.361920505727193</v>
      </c>
      <c r="Q304" s="18">
        <v>90</v>
      </c>
      <c r="R304" s="72">
        <v>5.1299999999999998E-2</v>
      </c>
      <c r="S304" s="42">
        <v>-32.5</v>
      </c>
    </row>
    <row r="305" spans="1:19" x14ac:dyDescent="0.2">
      <c r="A305" s="37">
        <v>120</v>
      </c>
      <c r="B305" s="37">
        <v>100</v>
      </c>
      <c r="C305" s="38">
        <v>104</v>
      </c>
      <c r="D305" s="38">
        <v>126</v>
      </c>
      <c r="E305" s="38">
        <v>131</v>
      </c>
      <c r="F305" s="38">
        <v>154</v>
      </c>
      <c r="G305" s="38">
        <v>122</v>
      </c>
      <c r="H305" s="38">
        <v>161</v>
      </c>
      <c r="I305" s="38">
        <v>150</v>
      </c>
      <c r="J305" s="38">
        <v>88</v>
      </c>
      <c r="K305" s="39">
        <v>146</v>
      </c>
      <c r="M305" s="59">
        <v>120</v>
      </c>
      <c r="N305" s="37">
        <f t="shared" si="0"/>
        <v>128.19999999999999</v>
      </c>
      <c r="O305" s="39">
        <f>STDEV(B305:K305)/SQRT(COUNT(B305:K305))</f>
        <v>7.8751366831171783</v>
      </c>
      <c r="Q305" s="19">
        <v>120</v>
      </c>
      <c r="R305" s="73">
        <v>0.30059999999999998</v>
      </c>
      <c r="S305" s="39">
        <v>-18.499999999999986</v>
      </c>
    </row>
    <row r="306" spans="1:19" x14ac:dyDescent="0.2">
      <c r="A306" s="36"/>
      <c r="B306" s="36"/>
      <c r="C306" s="36"/>
      <c r="D306" s="36"/>
      <c r="E306" s="36"/>
      <c r="F306" s="36"/>
      <c r="G306" s="36"/>
      <c r="H306" s="36"/>
      <c r="I306" s="36"/>
      <c r="J306" s="36"/>
      <c r="K306" s="36"/>
      <c r="M306" s="36"/>
      <c r="N306" s="36"/>
      <c r="O306" s="36"/>
    </row>
    <row r="307" spans="1:19" x14ac:dyDescent="0.2">
      <c r="A307" s="36"/>
      <c r="B307" s="36"/>
      <c r="C307" s="36"/>
      <c r="D307" s="36"/>
      <c r="E307" s="36"/>
      <c r="F307" s="36"/>
      <c r="G307" s="36"/>
      <c r="H307" s="36"/>
      <c r="I307" s="36"/>
      <c r="J307" s="36"/>
      <c r="K307" s="36"/>
      <c r="M307" s="82" t="s">
        <v>23</v>
      </c>
      <c r="N307" s="83"/>
      <c r="O307" s="84"/>
    </row>
    <row r="308" spans="1:19" x14ac:dyDescent="0.2">
      <c r="A308" s="33" t="s">
        <v>27</v>
      </c>
      <c r="B308" s="76" t="s">
        <v>23</v>
      </c>
      <c r="C308" s="77"/>
      <c r="D308" s="77"/>
      <c r="E308" s="77"/>
      <c r="F308" s="77"/>
      <c r="G308" s="77"/>
      <c r="H308" s="77"/>
      <c r="I308" s="77"/>
      <c r="J308" s="77"/>
      <c r="K308" s="78"/>
      <c r="M308" s="55" t="s">
        <v>27</v>
      </c>
      <c r="N308" s="34" t="s">
        <v>28</v>
      </c>
      <c r="O308" s="55" t="s">
        <v>1</v>
      </c>
    </row>
    <row r="309" spans="1:19" x14ac:dyDescent="0.2">
      <c r="A309" s="70">
        <v>0</v>
      </c>
      <c r="B309" s="33">
        <v>98</v>
      </c>
      <c r="C309" s="34">
        <v>72</v>
      </c>
      <c r="D309" s="34">
        <v>108</v>
      </c>
      <c r="E309" s="34">
        <v>63</v>
      </c>
      <c r="F309" s="34">
        <v>114</v>
      </c>
      <c r="G309" s="34">
        <v>88</v>
      </c>
      <c r="H309" s="34">
        <v>103</v>
      </c>
      <c r="I309" s="34">
        <v>69</v>
      </c>
      <c r="J309" s="34">
        <v>85</v>
      </c>
      <c r="K309" s="35">
        <v>125</v>
      </c>
      <c r="M309" s="70">
        <v>0</v>
      </c>
      <c r="N309" s="33">
        <f>AVERAGE(B309:K309)</f>
        <v>92.5</v>
      </c>
      <c r="O309" s="35">
        <f t="shared" ref="O309:O315" si="2">STDEV(B309:K309)/SQRT(COUNT(B309:K309))</f>
        <v>6.51366085836358</v>
      </c>
    </row>
    <row r="310" spans="1:19" x14ac:dyDescent="0.2">
      <c r="A310" s="70">
        <v>15</v>
      </c>
      <c r="B310" s="70">
        <v>199</v>
      </c>
      <c r="C310" s="36">
        <v>252</v>
      </c>
      <c r="D310" s="36">
        <v>281</v>
      </c>
      <c r="E310" s="36">
        <v>262</v>
      </c>
      <c r="F310" s="36">
        <v>305</v>
      </c>
      <c r="G310" s="36">
        <v>295</v>
      </c>
      <c r="H310" s="36">
        <v>304</v>
      </c>
      <c r="I310" s="36">
        <v>273</v>
      </c>
      <c r="J310" s="36">
        <v>243</v>
      </c>
      <c r="K310" s="42">
        <v>244</v>
      </c>
      <c r="M310" s="70">
        <v>15</v>
      </c>
      <c r="N310" s="70">
        <f t="shared" ref="N310:N315" si="3">AVERAGE(B310:K310)</f>
        <v>265.8</v>
      </c>
      <c r="O310" s="42">
        <f t="shared" si="2"/>
        <v>10.431575996836601</v>
      </c>
    </row>
    <row r="311" spans="1:19" x14ac:dyDescent="0.2">
      <c r="A311" s="70">
        <v>30</v>
      </c>
      <c r="B311" s="70">
        <v>174</v>
      </c>
      <c r="C311" s="36">
        <v>221</v>
      </c>
      <c r="D311" s="36">
        <v>255</v>
      </c>
      <c r="E311" s="36">
        <v>226</v>
      </c>
      <c r="F311" s="36">
        <v>214</v>
      </c>
      <c r="G311" s="36">
        <v>263</v>
      </c>
      <c r="H311" s="36">
        <v>201</v>
      </c>
      <c r="I311" s="36">
        <v>227</v>
      </c>
      <c r="J311" s="36">
        <v>267</v>
      </c>
      <c r="K311" s="42">
        <v>207</v>
      </c>
      <c r="M311" s="70">
        <v>30</v>
      </c>
      <c r="N311" s="70">
        <f>AVERAGE(B311:K311)</f>
        <v>225.5</v>
      </c>
      <c r="O311" s="42">
        <f t="shared" si="2"/>
        <v>9.2787092014161345</v>
      </c>
    </row>
    <row r="312" spans="1:19" x14ac:dyDescent="0.2">
      <c r="A312" s="70">
        <v>45</v>
      </c>
      <c r="B312" s="70">
        <v>163</v>
      </c>
      <c r="C312" s="36">
        <v>182</v>
      </c>
      <c r="D312" s="36">
        <v>209</v>
      </c>
      <c r="E312" s="36">
        <v>195</v>
      </c>
      <c r="F312" s="36">
        <v>193</v>
      </c>
      <c r="G312" s="36">
        <v>196</v>
      </c>
      <c r="H312" s="36">
        <v>191</v>
      </c>
      <c r="I312" s="36">
        <v>203</v>
      </c>
      <c r="J312" s="36">
        <v>204</v>
      </c>
      <c r="K312" s="42">
        <v>188</v>
      </c>
      <c r="M312" s="70">
        <v>45</v>
      </c>
      <c r="N312" s="70">
        <f>AVERAGE(B312:K312)</f>
        <v>192.4</v>
      </c>
      <c r="O312" s="42">
        <f t="shared" si="2"/>
        <v>4.1317201152923113</v>
      </c>
    </row>
    <row r="313" spans="1:19" x14ac:dyDescent="0.2">
      <c r="A313" s="70">
        <v>60</v>
      </c>
      <c r="B313" s="70">
        <v>153</v>
      </c>
      <c r="C313" s="36">
        <v>165</v>
      </c>
      <c r="D313" s="36">
        <v>165</v>
      </c>
      <c r="E313" s="36">
        <v>180</v>
      </c>
      <c r="F313" s="36">
        <v>187</v>
      </c>
      <c r="G313" s="36">
        <v>168</v>
      </c>
      <c r="H313" s="36">
        <v>172</v>
      </c>
      <c r="I313" s="36">
        <v>179</v>
      </c>
      <c r="J313" s="36">
        <v>173</v>
      </c>
      <c r="K313" s="42">
        <v>162</v>
      </c>
      <c r="M313" s="70">
        <v>60</v>
      </c>
      <c r="N313" s="70">
        <f t="shared" si="3"/>
        <v>170.4</v>
      </c>
      <c r="O313" s="42">
        <f t="shared" si="2"/>
        <v>3.1418324447861812</v>
      </c>
    </row>
    <row r="314" spans="1:19" x14ac:dyDescent="0.2">
      <c r="A314" s="70">
        <v>90</v>
      </c>
      <c r="B314" s="70">
        <v>129</v>
      </c>
      <c r="C314" s="36">
        <v>117</v>
      </c>
      <c r="D314" s="36">
        <v>135</v>
      </c>
      <c r="E314" s="36">
        <v>143</v>
      </c>
      <c r="F314" s="36">
        <v>145</v>
      </c>
      <c r="G314" s="36">
        <v>133</v>
      </c>
      <c r="H314" s="36">
        <v>136</v>
      </c>
      <c r="I314" s="36">
        <v>152</v>
      </c>
      <c r="J314" s="36">
        <v>113</v>
      </c>
      <c r="K314" s="42">
        <v>129</v>
      </c>
      <c r="M314" s="70">
        <v>90</v>
      </c>
      <c r="N314" s="70">
        <f t="shared" si="3"/>
        <v>133.19999999999999</v>
      </c>
      <c r="O314" s="42">
        <f t="shared" si="2"/>
        <v>3.8087618285561864</v>
      </c>
    </row>
    <row r="315" spans="1:19" x14ac:dyDescent="0.2">
      <c r="A315" s="37">
        <v>120</v>
      </c>
      <c r="B315" s="37">
        <v>96</v>
      </c>
      <c r="C315" s="38">
        <v>100</v>
      </c>
      <c r="D315" s="38">
        <v>114</v>
      </c>
      <c r="E315" s="38">
        <v>113</v>
      </c>
      <c r="F315" s="38">
        <v>125</v>
      </c>
      <c r="G315" s="38">
        <v>112</v>
      </c>
      <c r="H315" s="38">
        <v>117</v>
      </c>
      <c r="I315" s="38">
        <v>118</v>
      </c>
      <c r="J315" s="38">
        <v>105</v>
      </c>
      <c r="K315" s="39">
        <v>97</v>
      </c>
      <c r="M315" s="37">
        <v>120</v>
      </c>
      <c r="N315" s="37">
        <f t="shared" si="3"/>
        <v>109.7</v>
      </c>
      <c r="O315" s="39">
        <f t="shared" si="2"/>
        <v>3.0841890704401083</v>
      </c>
    </row>
    <row r="317" spans="1:19" x14ac:dyDescent="0.2">
      <c r="A317" s="12" t="s">
        <v>81</v>
      </c>
      <c r="B317" s="12"/>
      <c r="C317" s="12"/>
      <c r="D317" s="12" t="s">
        <v>81</v>
      </c>
      <c r="E317" s="12"/>
      <c r="F317" s="12"/>
      <c r="G317" s="12"/>
      <c r="H317" s="12" t="s">
        <v>81</v>
      </c>
    </row>
    <row r="318" spans="1:19" x14ac:dyDescent="0.2">
      <c r="A318" s="22" t="s">
        <v>13</v>
      </c>
      <c r="B318" s="54">
        <v>25.32</v>
      </c>
      <c r="C318" s="12"/>
      <c r="D318" s="16"/>
      <c r="E318" s="20" t="s">
        <v>12</v>
      </c>
      <c r="F318" s="17" t="s">
        <v>23</v>
      </c>
      <c r="H318" s="15" t="s">
        <v>84</v>
      </c>
    </row>
    <row r="319" spans="1:19" ht="15" x14ac:dyDescent="0.2">
      <c r="A319" s="24" t="s">
        <v>14</v>
      </c>
      <c r="B319" s="56">
        <v>22.597999999999999</v>
      </c>
      <c r="C319" s="12"/>
      <c r="D319" s="18" t="s">
        <v>28</v>
      </c>
      <c r="E319" s="11">
        <f>AVERAGE(B318:B327)</f>
        <v>25.6509</v>
      </c>
      <c r="F319" s="13">
        <f>AVERAGE(B328:B337)</f>
        <v>20.425099999999997</v>
      </c>
      <c r="H319" s="8" t="s">
        <v>82</v>
      </c>
    </row>
    <row r="320" spans="1:19" x14ac:dyDescent="0.2">
      <c r="A320" s="24" t="s">
        <v>15</v>
      </c>
      <c r="B320" s="56">
        <v>28.395</v>
      </c>
      <c r="C320" s="12"/>
      <c r="D320" s="19" t="s">
        <v>1</v>
      </c>
      <c r="E320" s="21">
        <f>STDEV(B318:B327)/SQRT(COUNT(B318:B327))</f>
        <v>0.7653566989754953</v>
      </c>
      <c r="F320" s="14">
        <f>STDEV(B328:B337)/SQRT(COUNT(B328:B337))</f>
        <v>0.43302325957543375</v>
      </c>
      <c r="H320" s="9" t="s">
        <v>59</v>
      </c>
    </row>
    <row r="321" spans="1:7" x14ac:dyDescent="0.2">
      <c r="A321" s="24" t="s">
        <v>16</v>
      </c>
      <c r="B321" s="56">
        <v>27.945</v>
      </c>
      <c r="C321" s="12"/>
      <c r="D321" s="12"/>
      <c r="E321" s="12"/>
      <c r="F321" s="12"/>
      <c r="G321" s="12"/>
    </row>
    <row r="322" spans="1:7" x14ac:dyDescent="0.2">
      <c r="A322" s="24" t="s">
        <v>17</v>
      </c>
      <c r="B322" s="56">
        <v>26.085000000000001</v>
      </c>
      <c r="C322" s="12"/>
      <c r="D322" s="12"/>
      <c r="E322" s="12"/>
      <c r="F322" s="12"/>
      <c r="G322" s="12"/>
    </row>
    <row r="323" spans="1:7" x14ac:dyDescent="0.2">
      <c r="A323" s="24" t="s">
        <v>18</v>
      </c>
      <c r="B323" s="56">
        <v>24.75</v>
      </c>
      <c r="C323" s="12"/>
    </row>
    <row r="324" spans="1:7" x14ac:dyDescent="0.2">
      <c r="A324" s="24" t="s">
        <v>19</v>
      </c>
      <c r="B324" s="57">
        <v>27.863</v>
      </c>
      <c r="C324" s="12"/>
      <c r="D324" s="12"/>
      <c r="E324" s="12"/>
      <c r="F324" s="12"/>
      <c r="G324" s="12"/>
    </row>
    <row r="325" spans="1:7" x14ac:dyDescent="0.2">
      <c r="A325" s="24" t="s">
        <v>20</v>
      </c>
      <c r="B325" s="57">
        <v>27.983000000000001</v>
      </c>
      <c r="C325" s="12"/>
      <c r="D325" s="12"/>
      <c r="E325" s="12"/>
      <c r="F325" s="12"/>
      <c r="G325" s="12"/>
    </row>
    <row r="326" spans="1:7" x14ac:dyDescent="0.2">
      <c r="A326" s="24" t="s">
        <v>21</v>
      </c>
      <c r="B326" s="57">
        <v>21.614999999999998</v>
      </c>
      <c r="C326" s="12"/>
      <c r="D326" s="12"/>
      <c r="E326" s="12"/>
      <c r="F326" s="12"/>
      <c r="G326" s="12"/>
    </row>
    <row r="327" spans="1:7" x14ac:dyDescent="0.2">
      <c r="A327" s="25" t="s">
        <v>22</v>
      </c>
      <c r="B327" s="59">
        <v>23.954999999999998</v>
      </c>
      <c r="C327" s="12"/>
      <c r="D327" s="12"/>
      <c r="E327" s="12"/>
      <c r="F327" s="12"/>
      <c r="G327" s="12"/>
    </row>
    <row r="328" spans="1:7" x14ac:dyDescent="0.2">
      <c r="A328" s="24" t="s">
        <v>2</v>
      </c>
      <c r="B328" s="56">
        <v>17.527999999999999</v>
      </c>
      <c r="C328" s="12"/>
      <c r="D328" s="12"/>
      <c r="E328" s="12"/>
      <c r="F328" s="12"/>
      <c r="G328" s="12"/>
    </row>
    <row r="329" spans="1:7" x14ac:dyDescent="0.2">
      <c r="A329" s="24" t="s">
        <v>3</v>
      </c>
      <c r="B329" s="56">
        <v>19.088000000000001</v>
      </c>
      <c r="C329" s="12"/>
      <c r="D329" s="12"/>
      <c r="E329" s="12"/>
      <c r="F329" s="12"/>
      <c r="G329" s="12"/>
    </row>
    <row r="330" spans="1:7" x14ac:dyDescent="0.2">
      <c r="A330" s="24" t="s">
        <v>4</v>
      </c>
      <c r="B330" s="56">
        <v>21.457999999999998</v>
      </c>
    </row>
    <row r="331" spans="1:7" x14ac:dyDescent="0.2">
      <c r="A331" s="24" t="s">
        <v>5</v>
      </c>
      <c r="B331" s="56">
        <v>20.753</v>
      </c>
    </row>
    <row r="332" spans="1:7" x14ac:dyDescent="0.2">
      <c r="A332" s="24" t="s">
        <v>6</v>
      </c>
      <c r="B332" s="57">
        <v>21.968</v>
      </c>
    </row>
    <row r="333" spans="1:7" x14ac:dyDescent="0.2">
      <c r="A333" s="24" t="s">
        <v>7</v>
      </c>
      <c r="B333" s="57">
        <v>21.42</v>
      </c>
    </row>
    <row r="334" spans="1:7" x14ac:dyDescent="0.2">
      <c r="A334" s="24" t="s">
        <v>8</v>
      </c>
      <c r="B334" s="57">
        <v>20.917999999999999</v>
      </c>
    </row>
    <row r="335" spans="1:7" x14ac:dyDescent="0.2">
      <c r="A335" s="24" t="s">
        <v>9</v>
      </c>
      <c r="B335" s="57">
        <v>21.42</v>
      </c>
    </row>
    <row r="336" spans="1:7" x14ac:dyDescent="0.2">
      <c r="A336" s="24" t="s">
        <v>10</v>
      </c>
      <c r="B336" s="56">
        <v>20.204999999999998</v>
      </c>
    </row>
    <row r="337" spans="1:2" x14ac:dyDescent="0.2">
      <c r="A337" s="25" t="s">
        <v>11</v>
      </c>
      <c r="B337" s="58">
        <v>19.492999999999999</v>
      </c>
    </row>
  </sheetData>
  <mergeCells count="4">
    <mergeCell ref="B298:K298"/>
    <mergeCell ref="B308:K308"/>
    <mergeCell ref="M297:O297"/>
    <mergeCell ref="M307:O307"/>
  </mergeCells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Figure1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danica chen</cp:lastModifiedBy>
  <dcterms:created xsi:type="dcterms:W3CDTF">2015-06-05T18:19:34Z</dcterms:created>
  <dcterms:modified xsi:type="dcterms:W3CDTF">2026-07-18T23:18:48Z</dcterms:modified>
</cp:coreProperties>
</file>